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autoCompressPictures="0"/>
  <mc:AlternateContent xmlns:mc="http://schemas.openxmlformats.org/markup-compatibility/2006">
    <mc:Choice Requires="x15">
      <x15ac:absPath xmlns:x15ac="http://schemas.microsoft.com/office/spreadsheetml/2010/11/ac" url="/opt/Source/Favro/Malterlib/Memory/Documentation/"/>
    </mc:Choice>
  </mc:AlternateContent>
  <xr:revisionPtr revIDLastSave="0" documentId="13_ncr:1_{B20C3338-8FC3-7246-8389-916FB721DF8B}" xr6:coauthVersionLast="47" xr6:coauthVersionMax="47" xr10:uidLastSave="{00000000-0000-0000-0000-000000000000}"/>
  <bookViews>
    <workbookView xWindow="1620" yWindow="500" windowWidth="45820" windowHeight="28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57" i="1" l="1"/>
  <c r="M156" i="1"/>
  <c r="H133" i="1"/>
  <c r="G133" i="1" s="1"/>
  <c r="I133" i="1"/>
  <c r="D133" i="1" s="1"/>
  <c r="O133" i="1"/>
  <c r="D134" i="1"/>
  <c r="F134" i="1"/>
  <c r="E134" i="1" s="1"/>
  <c r="H134" i="1"/>
  <c r="I134" i="1"/>
  <c r="J134" i="1"/>
  <c r="N134" i="1"/>
  <c r="O134" i="1"/>
  <c r="H135" i="1"/>
  <c r="H136" i="1" s="1"/>
  <c r="H137" i="1" s="1"/>
  <c r="H138" i="1" s="1"/>
  <c r="H139" i="1" s="1"/>
  <c r="H140" i="1" s="1"/>
  <c r="I135" i="1"/>
  <c r="D135" i="1" s="1"/>
  <c r="O135" i="1"/>
  <c r="D136" i="1"/>
  <c r="F136" i="1"/>
  <c r="E136" i="1" s="1"/>
  <c r="I136" i="1"/>
  <c r="J136" i="1"/>
  <c r="N136" i="1"/>
  <c r="O136" i="1"/>
  <c r="I137" i="1"/>
  <c r="D137" i="1" s="1"/>
  <c r="O137" i="1"/>
  <c r="D138" i="1"/>
  <c r="F138" i="1"/>
  <c r="E138" i="1" s="1"/>
  <c r="I138" i="1"/>
  <c r="J138" i="1"/>
  <c r="N138" i="1"/>
  <c r="O138" i="1"/>
  <c r="I139" i="1"/>
  <c r="D139" i="1" s="1"/>
  <c r="O139" i="1"/>
  <c r="D140" i="1"/>
  <c r="F140" i="1"/>
  <c r="E140" i="1" s="1"/>
  <c r="I140" i="1"/>
  <c r="J140" i="1"/>
  <c r="N140" i="1"/>
  <c r="O140" i="1"/>
  <c r="G125" i="1"/>
  <c r="S125" i="1" s="1"/>
  <c r="H125" i="1"/>
  <c r="I125" i="1"/>
  <c r="D125" i="1" s="1"/>
  <c r="J125" i="1"/>
  <c r="N125" i="1" s="1"/>
  <c r="O125" i="1"/>
  <c r="D126" i="1"/>
  <c r="E126" i="1"/>
  <c r="F126" i="1"/>
  <c r="H126" i="1"/>
  <c r="I126" i="1"/>
  <c r="J126" i="1"/>
  <c r="N126" i="1"/>
  <c r="O126" i="1"/>
  <c r="H127" i="1"/>
  <c r="H128" i="1" s="1"/>
  <c r="H129" i="1" s="1"/>
  <c r="H130" i="1" s="1"/>
  <c r="H131" i="1" s="1"/>
  <c r="H132" i="1" s="1"/>
  <c r="I127" i="1"/>
  <c r="D127" i="1" s="1"/>
  <c r="J127" i="1"/>
  <c r="N127" i="1" s="1"/>
  <c r="O127" i="1"/>
  <c r="D128" i="1"/>
  <c r="E128" i="1"/>
  <c r="F128" i="1"/>
  <c r="I128" i="1"/>
  <c r="J128" i="1"/>
  <c r="N128" i="1"/>
  <c r="O128" i="1"/>
  <c r="I129" i="1"/>
  <c r="D129" i="1" s="1"/>
  <c r="J129" i="1"/>
  <c r="N129" i="1" s="1"/>
  <c r="O129" i="1"/>
  <c r="D130" i="1"/>
  <c r="E130" i="1"/>
  <c r="F130" i="1"/>
  <c r="I130" i="1"/>
  <c r="J130" i="1" s="1"/>
  <c r="O130" i="1"/>
  <c r="I131" i="1"/>
  <c r="D131" i="1" s="1"/>
  <c r="J131" i="1"/>
  <c r="N131" i="1" s="1"/>
  <c r="O131" i="1"/>
  <c r="D132" i="1"/>
  <c r="E132" i="1"/>
  <c r="F132" i="1"/>
  <c r="I132" i="1"/>
  <c r="J132" i="1"/>
  <c r="N132" i="1"/>
  <c r="O132" i="1"/>
  <c r="B16" i="1"/>
  <c r="D15" i="1"/>
  <c r="D16" i="1"/>
  <c r="E16" i="1" s="1"/>
  <c r="A16" i="1" s="1"/>
  <c r="E15" i="1"/>
  <c r="K7" i="1"/>
  <c r="K8" i="1"/>
  <c r="L8" i="1" s="1"/>
  <c r="I111" i="1"/>
  <c r="G8" i="1"/>
  <c r="G9" i="1" s="1"/>
  <c r="H23" i="1"/>
  <c r="H24" i="1"/>
  <c r="H25" i="1" s="1"/>
  <c r="H26" i="1"/>
  <c r="H27" i="1"/>
  <c r="H28" i="1" s="1"/>
  <c r="H29" i="1" s="1"/>
  <c r="H31" i="1"/>
  <c r="H32" i="1"/>
  <c r="H33" i="1"/>
  <c r="H34" i="1" s="1"/>
  <c r="H35" i="1" s="1"/>
  <c r="H36" i="1" s="1"/>
  <c r="H37" i="1" s="1"/>
  <c r="H39" i="1"/>
  <c r="H40" i="1"/>
  <c r="H41" i="1" s="1"/>
  <c r="H42" i="1"/>
  <c r="H43" i="1" s="1"/>
  <c r="H44" i="1" s="1"/>
  <c r="H45" i="1" s="1"/>
  <c r="H47" i="1"/>
  <c r="H48" i="1"/>
  <c r="H49" i="1" s="1"/>
  <c r="H50" i="1" s="1"/>
  <c r="H51" i="1" s="1"/>
  <c r="H52" i="1" s="1"/>
  <c r="H53" i="1" s="1"/>
  <c r="H55" i="1"/>
  <c r="H56" i="1"/>
  <c r="H57" i="1" s="1"/>
  <c r="H58" i="1" s="1"/>
  <c r="H59" i="1" s="1"/>
  <c r="H60" i="1" s="1"/>
  <c r="H61" i="1" s="1"/>
  <c r="H63" i="1"/>
  <c r="H64" i="1"/>
  <c r="H65" i="1" s="1"/>
  <c r="H66" i="1" s="1"/>
  <c r="H67" i="1"/>
  <c r="H68" i="1"/>
  <c r="H69" i="1"/>
  <c r="H71" i="1"/>
  <c r="H72" i="1" s="1"/>
  <c r="H73" i="1" s="1"/>
  <c r="H74" i="1" s="1"/>
  <c r="H75" i="1" s="1"/>
  <c r="H76" i="1" s="1"/>
  <c r="H77" i="1" s="1"/>
  <c r="H79" i="1"/>
  <c r="H80" i="1"/>
  <c r="H81" i="1"/>
  <c r="H82" i="1" s="1"/>
  <c r="H83" i="1" s="1"/>
  <c r="H84" i="1" s="1"/>
  <c r="H85" i="1" s="1"/>
  <c r="H87" i="1"/>
  <c r="H88" i="1" s="1"/>
  <c r="H89" i="1" s="1"/>
  <c r="H90" i="1"/>
  <c r="H91" i="1" s="1"/>
  <c r="H92" i="1" s="1"/>
  <c r="H93" i="1" s="1"/>
  <c r="H95" i="1"/>
  <c r="H96" i="1"/>
  <c r="H97" i="1" s="1"/>
  <c r="H98" i="1" s="1"/>
  <c r="H99" i="1"/>
  <c r="H100" i="1" s="1"/>
  <c r="H101" i="1"/>
  <c r="H103" i="1"/>
  <c r="H104" i="1" s="1"/>
  <c r="H105" i="1" s="1"/>
  <c r="H106" i="1" s="1"/>
  <c r="H107" i="1" s="1"/>
  <c r="H108" i="1" s="1"/>
  <c r="H109" i="1" s="1"/>
  <c r="H110" i="1"/>
  <c r="H111" i="1" s="1"/>
  <c r="H112" i="1" s="1"/>
  <c r="H113" i="1" s="1"/>
  <c r="H114" i="1" s="1"/>
  <c r="H115" i="1" s="1"/>
  <c r="H116" i="1" s="1"/>
  <c r="H117" i="1" s="1"/>
  <c r="I110" i="1"/>
  <c r="I118" i="1"/>
  <c r="J118" i="1" s="1"/>
  <c r="N118" i="1" s="1"/>
  <c r="O102" i="1"/>
  <c r="O110" i="1"/>
  <c r="O118" i="1" s="1"/>
  <c r="O103" i="1"/>
  <c r="O111" i="1"/>
  <c r="O119" i="1" s="1"/>
  <c r="O104" i="1"/>
  <c r="O112" i="1"/>
  <c r="O120" i="1" s="1"/>
  <c r="O105" i="1"/>
  <c r="O113" i="1"/>
  <c r="O121" i="1"/>
  <c r="O106" i="1"/>
  <c r="O114" i="1" s="1"/>
  <c r="O122" i="1" s="1"/>
  <c r="O107" i="1"/>
  <c r="O115" i="1" s="1"/>
  <c r="O123" i="1" s="1"/>
  <c r="O108" i="1"/>
  <c r="O116" i="1"/>
  <c r="O124" i="1" s="1"/>
  <c r="O101" i="1"/>
  <c r="O109" i="1"/>
  <c r="O117" i="1" s="1"/>
  <c r="I117" i="1"/>
  <c r="D117" i="1" s="1"/>
  <c r="I112" i="1"/>
  <c r="I120" i="1"/>
  <c r="D120" i="1" s="1"/>
  <c r="I113" i="1"/>
  <c r="D113" i="1" s="1"/>
  <c r="I114" i="1"/>
  <c r="D114" i="1" s="1"/>
  <c r="I115" i="1"/>
  <c r="I116" i="1"/>
  <c r="S4" i="1"/>
  <c r="S5" i="1"/>
  <c r="S6" i="1"/>
  <c r="S7" i="1"/>
  <c r="J7" i="1"/>
  <c r="L7" i="1" s="1"/>
  <c r="J9" i="1"/>
  <c r="J10" i="1"/>
  <c r="N10" i="1" s="1"/>
  <c r="J11" i="1"/>
  <c r="N11" i="1"/>
  <c r="J12" i="1"/>
  <c r="N12" i="1"/>
  <c r="N8" i="1"/>
  <c r="J13" i="1"/>
  <c r="N13" i="1"/>
  <c r="J14" i="1"/>
  <c r="N14" i="1" s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44" i="1"/>
  <c r="D43" i="1"/>
  <c r="D42" i="1"/>
  <c r="D41" i="1"/>
  <c r="D40" i="1"/>
  <c r="D39" i="1"/>
  <c r="D38" i="1"/>
  <c r="D37" i="1"/>
  <c r="J117" i="1"/>
  <c r="J110" i="1"/>
  <c r="J109" i="1"/>
  <c r="N109" i="1"/>
  <c r="J108" i="1"/>
  <c r="J107" i="1"/>
  <c r="N107" i="1" s="1"/>
  <c r="J106" i="1"/>
  <c r="N106" i="1" s="1"/>
  <c r="J105" i="1"/>
  <c r="J104" i="1"/>
  <c r="J103" i="1"/>
  <c r="J102" i="1"/>
  <c r="N102" i="1"/>
  <c r="J101" i="1"/>
  <c r="N101" i="1"/>
  <c r="J100" i="1"/>
  <c r="N100" i="1" s="1"/>
  <c r="J99" i="1"/>
  <c r="N99" i="1"/>
  <c r="J98" i="1"/>
  <c r="J97" i="1"/>
  <c r="J96" i="1"/>
  <c r="J95" i="1"/>
  <c r="N95" i="1"/>
  <c r="J94" i="1"/>
  <c r="N94" i="1"/>
  <c r="F15" i="1"/>
  <c r="J93" i="1"/>
  <c r="J92" i="1"/>
  <c r="J91" i="1"/>
  <c r="J90" i="1"/>
  <c r="J89" i="1"/>
  <c r="J88" i="1"/>
  <c r="N88" i="1" s="1"/>
  <c r="J87" i="1"/>
  <c r="J86" i="1"/>
  <c r="N86" i="1" s="1"/>
  <c r="J85" i="1"/>
  <c r="N85" i="1" s="1"/>
  <c r="J84" i="1"/>
  <c r="N84" i="1" s="1"/>
  <c r="J83" i="1"/>
  <c r="J82" i="1"/>
  <c r="J81" i="1"/>
  <c r="J80" i="1"/>
  <c r="N80" i="1" s="1"/>
  <c r="J79" i="1"/>
  <c r="J78" i="1"/>
  <c r="J77" i="1"/>
  <c r="N77" i="1" s="1"/>
  <c r="J76" i="1"/>
  <c r="J75" i="1"/>
  <c r="J74" i="1"/>
  <c r="N74" i="1" s="1"/>
  <c r="J73" i="1"/>
  <c r="J72" i="1"/>
  <c r="J71" i="1"/>
  <c r="J70" i="1"/>
  <c r="J69" i="1"/>
  <c r="J25" i="1"/>
  <c r="J26" i="1"/>
  <c r="J27" i="1"/>
  <c r="N27" i="1" s="1"/>
  <c r="J28" i="1"/>
  <c r="N28" i="1" s="1"/>
  <c r="J29" i="1"/>
  <c r="N29" i="1" s="1"/>
  <c r="J30" i="1"/>
  <c r="J31" i="1"/>
  <c r="J32" i="1"/>
  <c r="J33" i="1"/>
  <c r="J34" i="1"/>
  <c r="J35" i="1"/>
  <c r="J36" i="1"/>
  <c r="N36" i="1" s="1"/>
  <c r="J37" i="1"/>
  <c r="N37" i="1" s="1"/>
  <c r="J38" i="1"/>
  <c r="N38" i="1" s="1"/>
  <c r="J39" i="1"/>
  <c r="N39" i="1" s="1"/>
  <c r="J40" i="1"/>
  <c r="J41" i="1"/>
  <c r="N41" i="1" s="1"/>
  <c r="J42" i="1"/>
  <c r="J43" i="1"/>
  <c r="J44" i="1"/>
  <c r="J45" i="1"/>
  <c r="J46" i="1"/>
  <c r="J47" i="1"/>
  <c r="J48" i="1"/>
  <c r="J49" i="1"/>
  <c r="N49" i="1" s="1"/>
  <c r="J50" i="1"/>
  <c r="J51" i="1"/>
  <c r="J52" i="1"/>
  <c r="J53" i="1"/>
  <c r="N53" i="1" s="1"/>
  <c r="J54" i="1"/>
  <c r="J55" i="1"/>
  <c r="J56" i="1"/>
  <c r="J57" i="1"/>
  <c r="N57" i="1" s="1"/>
  <c r="J58" i="1"/>
  <c r="N58" i="1" s="1"/>
  <c r="J59" i="1"/>
  <c r="N59" i="1" s="1"/>
  <c r="J60" i="1"/>
  <c r="J61" i="1"/>
  <c r="J62" i="1"/>
  <c r="J63" i="1"/>
  <c r="J64" i="1"/>
  <c r="J65" i="1"/>
  <c r="J66" i="1"/>
  <c r="J67" i="1"/>
  <c r="N67" i="1" s="1"/>
  <c r="J68" i="1"/>
  <c r="N68" i="1" s="1"/>
  <c r="J4" i="1"/>
  <c r="K4" i="1" s="1"/>
  <c r="J5" i="1"/>
  <c r="J6" i="1"/>
  <c r="N6" i="1" s="1"/>
  <c r="J15" i="1"/>
  <c r="J16" i="1"/>
  <c r="J17" i="1"/>
  <c r="J18" i="1"/>
  <c r="N18" i="1" s="1"/>
  <c r="J19" i="1"/>
  <c r="N19" i="1" s="1"/>
  <c r="M8" i="1"/>
  <c r="D110" i="1"/>
  <c r="F93" i="1"/>
  <c r="E93" i="1" s="1"/>
  <c r="N117" i="1"/>
  <c r="N103" i="1"/>
  <c r="N104" i="1"/>
  <c r="N105" i="1"/>
  <c r="N96" i="1"/>
  <c r="N98" i="1"/>
  <c r="N97" i="1"/>
  <c r="M4" i="1"/>
  <c r="M5" i="1"/>
  <c r="M6" i="1"/>
  <c r="D118" i="1"/>
  <c r="J120" i="1"/>
  <c r="N120" i="1" s="1"/>
  <c r="M7" i="1"/>
  <c r="N15" i="1"/>
  <c r="N16" i="1"/>
  <c r="N17" i="1"/>
  <c r="N30" i="1"/>
  <c r="N32" i="1"/>
  <c r="N33" i="1"/>
  <c r="N34" i="1"/>
  <c r="N42" i="1"/>
  <c r="N43" i="1"/>
  <c r="N44" i="1"/>
  <c r="N45" i="1"/>
  <c r="N46" i="1"/>
  <c r="N47" i="1"/>
  <c r="N48" i="1"/>
  <c r="N50" i="1"/>
  <c r="N52" i="1"/>
  <c r="N54" i="1"/>
  <c r="N60" i="1"/>
  <c r="N62" i="1"/>
  <c r="N63" i="1"/>
  <c r="N64" i="1"/>
  <c r="N65" i="1"/>
  <c r="N69" i="1"/>
  <c r="N70" i="1"/>
  <c r="N71" i="1"/>
  <c r="N73" i="1"/>
  <c r="N75" i="1"/>
  <c r="N76" i="1"/>
  <c r="N79" i="1"/>
  <c r="N81" i="1"/>
  <c r="N83" i="1"/>
  <c r="N87" i="1"/>
  <c r="N89" i="1"/>
  <c r="N90" i="1"/>
  <c r="N91" i="1"/>
  <c r="N93" i="1"/>
  <c r="J24" i="1"/>
  <c r="J22" i="1"/>
  <c r="J23" i="1"/>
  <c r="N23" i="1"/>
  <c r="J21" i="1"/>
  <c r="N21" i="1"/>
  <c r="J20" i="1"/>
  <c r="N20" i="1"/>
  <c r="N24" i="1"/>
  <c r="G134" i="1" l="1"/>
  <c r="S133" i="1"/>
  <c r="M133" i="1"/>
  <c r="J139" i="1"/>
  <c r="J137" i="1"/>
  <c r="J135" i="1"/>
  <c r="J133" i="1"/>
  <c r="F139" i="1"/>
  <c r="E139" i="1" s="1"/>
  <c r="F137" i="1"/>
  <c r="E137" i="1" s="1"/>
  <c r="F135" i="1"/>
  <c r="E135" i="1" s="1"/>
  <c r="F133" i="1"/>
  <c r="E133" i="1" s="1"/>
  <c r="N130" i="1"/>
  <c r="M125" i="1"/>
  <c r="G126" i="1"/>
  <c r="K125" i="1"/>
  <c r="L125" i="1" s="1"/>
  <c r="F131" i="1"/>
  <c r="E131" i="1" s="1"/>
  <c r="F129" i="1"/>
  <c r="E129" i="1" s="1"/>
  <c r="F127" i="1"/>
  <c r="E127" i="1" s="1"/>
  <c r="F125" i="1"/>
  <c r="E125" i="1" s="1"/>
  <c r="K9" i="1"/>
  <c r="L9" i="1" s="1"/>
  <c r="M9" i="1"/>
  <c r="N9" i="1"/>
  <c r="I122" i="1"/>
  <c r="J122" i="1" s="1"/>
  <c r="N122" i="1" s="1"/>
  <c r="P9" i="1"/>
  <c r="Q9" i="1" s="1"/>
  <c r="N7" i="1"/>
  <c r="P8" i="1"/>
  <c r="Q8" i="1" s="1"/>
  <c r="P7" i="1"/>
  <c r="Q7" i="1" s="1"/>
  <c r="S8" i="1"/>
  <c r="H118" i="1"/>
  <c r="H119" i="1" s="1"/>
  <c r="H120" i="1" s="1"/>
  <c r="H121" i="1" s="1"/>
  <c r="H122" i="1" s="1"/>
  <c r="H123" i="1" s="1"/>
  <c r="H124" i="1" s="1"/>
  <c r="J114" i="1"/>
  <c r="N114" i="1" s="1"/>
  <c r="P4" i="1"/>
  <c r="Q4" i="1" s="1"/>
  <c r="N61" i="1"/>
  <c r="N51" i="1"/>
  <c r="N31" i="1"/>
  <c r="N72" i="1"/>
  <c r="N92" i="1"/>
  <c r="N82" i="1"/>
  <c r="N22" i="1"/>
  <c r="I123" i="1"/>
  <c r="D115" i="1"/>
  <c r="J115" i="1"/>
  <c r="F38" i="1"/>
  <c r="E38" i="1" s="1"/>
  <c r="F110" i="1"/>
  <c r="E110" i="1" s="1"/>
  <c r="F118" i="1"/>
  <c r="E118" i="1" s="1"/>
  <c r="F86" i="1"/>
  <c r="E86" i="1" s="1"/>
  <c r="F70" i="1"/>
  <c r="E70" i="1" s="1"/>
  <c r="F54" i="1"/>
  <c r="E54" i="1" s="1"/>
  <c r="F62" i="1"/>
  <c r="E62" i="1" s="1"/>
  <c r="F94" i="1"/>
  <c r="E94" i="1" s="1"/>
  <c r="F45" i="1"/>
  <c r="E45" i="1" s="1"/>
  <c r="F37" i="1"/>
  <c r="E37" i="1" s="1"/>
  <c r="F101" i="1"/>
  <c r="E101" i="1" s="1"/>
  <c r="F85" i="1"/>
  <c r="E85" i="1" s="1"/>
  <c r="F109" i="1"/>
  <c r="E109" i="1" s="1"/>
  <c r="A15" i="1"/>
  <c r="F69" i="1"/>
  <c r="E69" i="1" s="1"/>
  <c r="F61" i="1"/>
  <c r="E61" i="1" s="1"/>
  <c r="F53" i="1"/>
  <c r="E53" i="1" s="1"/>
  <c r="F102" i="1"/>
  <c r="E102" i="1" s="1"/>
  <c r="N108" i="1"/>
  <c r="F117" i="1"/>
  <c r="E117" i="1" s="1"/>
  <c r="N66" i="1"/>
  <c r="N56" i="1"/>
  <c r="N26" i="1"/>
  <c r="F78" i="1"/>
  <c r="E78" i="1" s="1"/>
  <c r="N35" i="1"/>
  <c r="N25" i="1"/>
  <c r="N78" i="1"/>
  <c r="N55" i="1"/>
  <c r="N110" i="1"/>
  <c r="D112" i="1"/>
  <c r="J112" i="1"/>
  <c r="K6" i="1"/>
  <c r="L6" i="1" s="1"/>
  <c r="F77" i="1"/>
  <c r="E77" i="1" s="1"/>
  <c r="F46" i="1"/>
  <c r="E46" i="1" s="1"/>
  <c r="B17" i="1"/>
  <c r="F16" i="1"/>
  <c r="K5" i="1"/>
  <c r="P5" i="1" s="1"/>
  <c r="Q5" i="1" s="1"/>
  <c r="N40" i="1"/>
  <c r="I119" i="1"/>
  <c r="J111" i="1"/>
  <c r="D111" i="1"/>
  <c r="L4" i="1"/>
  <c r="J116" i="1"/>
  <c r="I124" i="1"/>
  <c r="D116" i="1"/>
  <c r="I121" i="1"/>
  <c r="J113" i="1"/>
  <c r="S9" i="1"/>
  <c r="G10" i="1"/>
  <c r="K10" i="1" s="1"/>
  <c r="L10" i="1" s="1"/>
  <c r="N137" i="1" l="1"/>
  <c r="N133" i="1"/>
  <c r="K133" i="1"/>
  <c r="P133" i="1" s="1"/>
  <c r="Q133" i="1" s="1"/>
  <c r="L133" i="1"/>
  <c r="N135" i="1"/>
  <c r="K135" i="1"/>
  <c r="L135" i="1" s="1"/>
  <c r="N139" i="1"/>
  <c r="K134" i="1"/>
  <c r="L134" i="1" s="1"/>
  <c r="G135" i="1"/>
  <c r="M134" i="1"/>
  <c r="S134" i="1"/>
  <c r="P125" i="1"/>
  <c r="Q125" i="1" s="1"/>
  <c r="G127" i="1"/>
  <c r="K126" i="1"/>
  <c r="L126" i="1" s="1"/>
  <c r="M126" i="1"/>
  <c r="S126" i="1"/>
  <c r="D122" i="1"/>
  <c r="L5" i="1"/>
  <c r="J123" i="1"/>
  <c r="D123" i="1"/>
  <c r="N113" i="1"/>
  <c r="Z113" i="1"/>
  <c r="P6" i="1"/>
  <c r="Q6" i="1" s="1"/>
  <c r="J121" i="1"/>
  <c r="D121" i="1"/>
  <c r="N111" i="1"/>
  <c r="B18" i="1"/>
  <c r="D17" i="1"/>
  <c r="E17" i="1" s="1"/>
  <c r="A17" i="1" s="1"/>
  <c r="F17" i="1"/>
  <c r="N112" i="1"/>
  <c r="D119" i="1"/>
  <c r="J119" i="1"/>
  <c r="D124" i="1"/>
  <c r="J124" i="1"/>
  <c r="N116" i="1"/>
  <c r="N115" i="1"/>
  <c r="S10" i="1"/>
  <c r="M10" i="1"/>
  <c r="P10" i="1"/>
  <c r="Q10" i="1" s="1"/>
  <c r="G11" i="1"/>
  <c r="G136" i="1" l="1"/>
  <c r="S135" i="1"/>
  <c r="M135" i="1"/>
  <c r="P134" i="1"/>
  <c r="Q134" i="1" s="1"/>
  <c r="P135" i="1"/>
  <c r="Q135" i="1" s="1"/>
  <c r="P126" i="1"/>
  <c r="Q126" i="1" s="1"/>
  <c r="S127" i="1"/>
  <c r="G128" i="1"/>
  <c r="M127" i="1"/>
  <c r="K127" i="1"/>
  <c r="L127" i="1" s="1"/>
  <c r="N124" i="1"/>
  <c r="AE114" i="1" s="1"/>
  <c r="AE115" i="1" s="1"/>
  <c r="D18" i="1"/>
  <c r="E18" i="1" s="1"/>
  <c r="A18" i="1" s="1"/>
  <c r="F18" i="1"/>
  <c r="B19" i="1"/>
  <c r="N119" i="1"/>
  <c r="N123" i="1"/>
  <c r="N121" i="1"/>
  <c r="G12" i="1"/>
  <c r="M11" i="1"/>
  <c r="S11" i="1"/>
  <c r="K11" i="1"/>
  <c r="L11" i="1" s="1"/>
  <c r="F47" i="1"/>
  <c r="E47" i="1" s="1"/>
  <c r="F79" i="1"/>
  <c r="E79" i="1" s="1"/>
  <c r="F111" i="1"/>
  <c r="E111" i="1" s="1"/>
  <c r="F87" i="1"/>
  <c r="E87" i="1" s="1"/>
  <c r="F95" i="1"/>
  <c r="E95" i="1" s="1"/>
  <c r="F71" i="1"/>
  <c r="E71" i="1" s="1"/>
  <c r="F39" i="1"/>
  <c r="E39" i="1" s="1"/>
  <c r="F63" i="1"/>
  <c r="E63" i="1" s="1"/>
  <c r="F55" i="1"/>
  <c r="E55" i="1" s="1"/>
  <c r="F119" i="1"/>
  <c r="E119" i="1" s="1"/>
  <c r="F103" i="1"/>
  <c r="E103" i="1" s="1"/>
  <c r="G137" i="1" l="1"/>
  <c r="K136" i="1"/>
  <c r="L136" i="1" s="1"/>
  <c r="M136" i="1"/>
  <c r="S136" i="1"/>
  <c r="P127" i="1"/>
  <c r="Q127" i="1" s="1"/>
  <c r="G129" i="1"/>
  <c r="K128" i="1"/>
  <c r="L128" i="1" s="1"/>
  <c r="M128" i="1"/>
  <c r="P128" i="1"/>
  <c r="Q128" i="1" s="1"/>
  <c r="S128" i="1"/>
  <c r="F80" i="1"/>
  <c r="E80" i="1" s="1"/>
  <c r="F64" i="1"/>
  <c r="E64" i="1" s="1"/>
  <c r="F56" i="1"/>
  <c r="E56" i="1" s="1"/>
  <c r="F120" i="1"/>
  <c r="E120" i="1" s="1"/>
  <c r="F48" i="1"/>
  <c r="E48" i="1" s="1"/>
  <c r="F72" i="1"/>
  <c r="E72" i="1" s="1"/>
  <c r="F96" i="1"/>
  <c r="E96" i="1" s="1"/>
  <c r="F40" i="1"/>
  <c r="E40" i="1" s="1"/>
  <c r="F112" i="1"/>
  <c r="E112" i="1" s="1"/>
  <c r="F88" i="1"/>
  <c r="E88" i="1" s="1"/>
  <c r="F104" i="1"/>
  <c r="E104" i="1" s="1"/>
  <c r="P11" i="1"/>
  <c r="Q11" i="1" s="1"/>
  <c r="G13" i="1"/>
  <c r="S12" i="1"/>
  <c r="K12" i="1"/>
  <c r="L12" i="1" s="1"/>
  <c r="M12" i="1"/>
  <c r="F19" i="1"/>
  <c r="B20" i="1"/>
  <c r="D19" i="1"/>
  <c r="E19" i="1" s="1"/>
  <c r="P136" i="1" l="1"/>
  <c r="Q136" i="1" s="1"/>
  <c r="G138" i="1"/>
  <c r="S137" i="1"/>
  <c r="M137" i="1"/>
  <c r="K137" i="1"/>
  <c r="L137" i="1" s="1"/>
  <c r="P137" i="1"/>
  <c r="Q137" i="1" s="1"/>
  <c r="S129" i="1"/>
  <c r="G130" i="1"/>
  <c r="M129" i="1"/>
  <c r="K129" i="1"/>
  <c r="L129" i="1" s="1"/>
  <c r="M13" i="1"/>
  <c r="S13" i="1"/>
  <c r="K13" i="1"/>
  <c r="L13" i="1" s="1"/>
  <c r="P13" i="1"/>
  <c r="Q13" i="1" s="1"/>
  <c r="G14" i="1"/>
  <c r="P12" i="1"/>
  <c r="Q12" i="1" s="1"/>
  <c r="D20" i="1"/>
  <c r="E20" i="1" s="1"/>
  <c r="F20" i="1"/>
  <c r="B21" i="1"/>
  <c r="F65" i="1"/>
  <c r="E65" i="1" s="1"/>
  <c r="F113" i="1"/>
  <c r="E113" i="1" s="1"/>
  <c r="F81" i="1"/>
  <c r="E81" i="1" s="1"/>
  <c r="F41" i="1"/>
  <c r="E41" i="1" s="1"/>
  <c r="F57" i="1"/>
  <c r="E57" i="1" s="1"/>
  <c r="F49" i="1"/>
  <c r="E49" i="1" s="1"/>
  <c r="F97" i="1"/>
  <c r="E97" i="1" s="1"/>
  <c r="F73" i="1"/>
  <c r="E73" i="1" s="1"/>
  <c r="F121" i="1"/>
  <c r="E121" i="1" s="1"/>
  <c r="F105" i="1"/>
  <c r="E105" i="1" s="1"/>
  <c r="F89" i="1"/>
  <c r="E89" i="1" s="1"/>
  <c r="A19" i="1"/>
  <c r="K138" i="1" l="1"/>
  <c r="L138" i="1" s="1"/>
  <c r="G139" i="1"/>
  <c r="M138" i="1"/>
  <c r="S138" i="1"/>
  <c r="P129" i="1"/>
  <c r="Q129" i="1" s="1"/>
  <c r="G131" i="1"/>
  <c r="M130" i="1"/>
  <c r="S130" i="1"/>
  <c r="K130" i="1"/>
  <c r="L130" i="1" s="1"/>
  <c r="P130" i="1"/>
  <c r="Q130" i="1" s="1"/>
  <c r="S14" i="1"/>
  <c r="K14" i="1"/>
  <c r="L14" i="1" s="1"/>
  <c r="M14" i="1"/>
  <c r="G15" i="1"/>
  <c r="P14" i="1"/>
  <c r="Q14" i="1" s="1"/>
  <c r="D21" i="1"/>
  <c r="E21" i="1" s="1"/>
  <c r="B22" i="1"/>
  <c r="A21" i="1"/>
  <c r="F21" i="1"/>
  <c r="F82" i="1"/>
  <c r="E82" i="1" s="1"/>
  <c r="F42" i="1"/>
  <c r="E42" i="1" s="1"/>
  <c r="F98" i="1"/>
  <c r="E98" i="1" s="1"/>
  <c r="F50" i="1"/>
  <c r="E50" i="1" s="1"/>
  <c r="F90" i="1"/>
  <c r="E90" i="1" s="1"/>
  <c r="F122" i="1"/>
  <c r="E122" i="1" s="1"/>
  <c r="F58" i="1"/>
  <c r="E58" i="1" s="1"/>
  <c r="F106" i="1"/>
  <c r="E106" i="1" s="1"/>
  <c r="F74" i="1"/>
  <c r="E74" i="1" s="1"/>
  <c r="F114" i="1"/>
  <c r="E114" i="1" s="1"/>
  <c r="F66" i="1"/>
  <c r="E66" i="1" s="1"/>
  <c r="A20" i="1"/>
  <c r="G140" i="1" l="1"/>
  <c r="S139" i="1"/>
  <c r="M139" i="1"/>
  <c r="K139" i="1"/>
  <c r="L139" i="1" s="1"/>
  <c r="P139" i="1"/>
  <c r="Q139" i="1" s="1"/>
  <c r="P138" i="1"/>
  <c r="Q138" i="1" s="1"/>
  <c r="S131" i="1"/>
  <c r="G132" i="1"/>
  <c r="M131" i="1"/>
  <c r="K131" i="1"/>
  <c r="L131" i="1" s="1"/>
  <c r="P131" i="1"/>
  <c r="Q131" i="1" s="1"/>
  <c r="F22" i="1"/>
  <c r="F23" i="1" s="1"/>
  <c r="D22" i="1"/>
  <c r="E22" i="1" s="1"/>
  <c r="S15" i="1"/>
  <c r="K15" i="1"/>
  <c r="L15" i="1" s="1"/>
  <c r="M15" i="1"/>
  <c r="G16" i="1"/>
  <c r="F99" i="1"/>
  <c r="E99" i="1" s="1"/>
  <c r="F107" i="1"/>
  <c r="E107" i="1" s="1"/>
  <c r="F83" i="1"/>
  <c r="E83" i="1" s="1"/>
  <c r="F91" i="1"/>
  <c r="E91" i="1" s="1"/>
  <c r="F51" i="1"/>
  <c r="E51" i="1" s="1"/>
  <c r="F115" i="1"/>
  <c r="E115" i="1" s="1"/>
  <c r="F67" i="1"/>
  <c r="E67" i="1" s="1"/>
  <c r="F123" i="1"/>
  <c r="E123" i="1" s="1"/>
  <c r="F75" i="1"/>
  <c r="E75" i="1" s="1"/>
  <c r="F59" i="1"/>
  <c r="E59" i="1" s="1"/>
  <c r="F43" i="1"/>
  <c r="E43" i="1" s="1"/>
  <c r="K140" i="1" l="1"/>
  <c r="L140" i="1" s="1"/>
  <c r="M140" i="1"/>
  <c r="S140" i="1"/>
  <c r="P140" i="1"/>
  <c r="Q140" i="1" s="1"/>
  <c r="M132" i="1"/>
  <c r="K132" i="1"/>
  <c r="L132" i="1" s="1"/>
  <c r="P132" i="1"/>
  <c r="Q132" i="1" s="1"/>
  <c r="S132" i="1"/>
  <c r="G17" i="1"/>
  <c r="K16" i="1"/>
  <c r="L16" i="1" s="1"/>
  <c r="S16" i="1"/>
  <c r="M16" i="1"/>
  <c r="P16" i="1"/>
  <c r="Q16" i="1" s="1"/>
  <c r="P15" i="1"/>
  <c r="Q15" i="1" s="1"/>
  <c r="F92" i="1"/>
  <c r="E92" i="1" s="1"/>
  <c r="F52" i="1"/>
  <c r="E52" i="1" s="1"/>
  <c r="F124" i="1"/>
  <c r="E124" i="1" s="1"/>
  <c r="F84" i="1"/>
  <c r="E84" i="1" s="1"/>
  <c r="F108" i="1"/>
  <c r="E108" i="1" s="1"/>
  <c r="F76" i="1"/>
  <c r="E76" i="1" s="1"/>
  <c r="F68" i="1"/>
  <c r="E68" i="1" s="1"/>
  <c r="F44" i="1"/>
  <c r="E44" i="1" s="1"/>
  <c r="F100" i="1"/>
  <c r="E100" i="1" s="1"/>
  <c r="F116" i="1"/>
  <c r="E116" i="1" s="1"/>
  <c r="F60" i="1"/>
  <c r="E60" i="1" s="1"/>
  <c r="A22" i="1"/>
  <c r="S17" i="1" l="1"/>
  <c r="G18" i="1"/>
  <c r="M17" i="1"/>
  <c r="K17" i="1"/>
  <c r="L17" i="1" s="1"/>
  <c r="G19" i="1" l="1"/>
  <c r="S18" i="1"/>
  <c r="M18" i="1"/>
  <c r="K18" i="1"/>
  <c r="L18" i="1" s="1"/>
  <c r="P17" i="1"/>
  <c r="Q17" i="1" s="1"/>
  <c r="P18" i="1" l="1"/>
  <c r="Q18" i="1" s="1"/>
  <c r="G20" i="1"/>
  <c r="S19" i="1"/>
  <c r="M19" i="1"/>
  <c r="K19" i="1"/>
  <c r="L19" i="1" s="1"/>
  <c r="P19" i="1" l="1"/>
  <c r="Q19" i="1" s="1"/>
  <c r="M20" i="1"/>
  <c r="G21" i="1"/>
  <c r="S20" i="1"/>
  <c r="K20" i="1"/>
  <c r="L20" i="1" s="1"/>
  <c r="P20" i="1"/>
  <c r="Q20" i="1" s="1"/>
  <c r="M21" i="1" l="1"/>
  <c r="G22" i="1"/>
  <c r="S21" i="1"/>
  <c r="K21" i="1"/>
  <c r="L21" i="1" s="1"/>
  <c r="P21" i="1"/>
  <c r="Q21" i="1" s="1"/>
  <c r="G23" i="1" l="1"/>
  <c r="S22" i="1"/>
  <c r="M22" i="1"/>
  <c r="K22" i="1"/>
  <c r="L22" i="1" s="1"/>
  <c r="P22" i="1"/>
  <c r="Q22" i="1" s="1"/>
  <c r="M23" i="1" l="1"/>
  <c r="G24" i="1"/>
  <c r="S23" i="1"/>
  <c r="K23" i="1"/>
  <c r="L23" i="1" s="1"/>
  <c r="P23" i="1" l="1"/>
  <c r="Q23" i="1" s="1"/>
  <c r="S24" i="1"/>
  <c r="G25" i="1"/>
  <c r="M24" i="1"/>
  <c r="K24" i="1"/>
  <c r="L24" i="1" s="1"/>
  <c r="S25" i="1" l="1"/>
  <c r="G26" i="1"/>
  <c r="M25" i="1"/>
  <c r="K25" i="1"/>
  <c r="L25" i="1" s="1"/>
  <c r="P24" i="1"/>
  <c r="Q24" i="1" s="1"/>
  <c r="P25" i="1" l="1"/>
  <c r="Q25" i="1" s="1"/>
  <c r="G27" i="1"/>
  <c r="M26" i="1"/>
  <c r="S26" i="1"/>
  <c r="K26" i="1"/>
  <c r="L26" i="1" s="1"/>
  <c r="P26" i="1" l="1"/>
  <c r="Q26" i="1" s="1"/>
  <c r="S27" i="1"/>
  <c r="M27" i="1"/>
  <c r="G28" i="1"/>
  <c r="K27" i="1"/>
  <c r="L27" i="1" s="1"/>
  <c r="P27" i="1" l="1"/>
  <c r="Q27" i="1" s="1"/>
  <c r="G29" i="1"/>
  <c r="M28" i="1"/>
  <c r="K28" i="1"/>
  <c r="L28" i="1" s="1"/>
  <c r="S28" i="1"/>
  <c r="P28" i="1"/>
  <c r="Q28" i="1" s="1"/>
  <c r="G30" i="1" l="1"/>
  <c r="M29" i="1"/>
  <c r="S29" i="1"/>
  <c r="K29" i="1"/>
  <c r="L29" i="1" s="1"/>
  <c r="P29" i="1" l="1"/>
  <c r="Q29" i="1" s="1"/>
  <c r="G31" i="1"/>
  <c r="S30" i="1"/>
  <c r="M30" i="1"/>
  <c r="K30" i="1"/>
  <c r="L30" i="1" s="1"/>
  <c r="P30" i="1" l="1"/>
  <c r="Q30" i="1" s="1"/>
  <c r="S31" i="1"/>
  <c r="M31" i="1"/>
  <c r="G32" i="1"/>
  <c r="K31" i="1"/>
  <c r="L31" i="1" s="1"/>
  <c r="P31" i="1"/>
  <c r="Q31" i="1" s="1"/>
  <c r="M32" i="1" l="1"/>
  <c r="S32" i="1"/>
  <c r="G33" i="1"/>
  <c r="K32" i="1"/>
  <c r="L32" i="1" s="1"/>
  <c r="G34" i="1" l="1"/>
  <c r="M33" i="1"/>
  <c r="K33" i="1"/>
  <c r="L33" i="1" s="1"/>
  <c r="S33" i="1"/>
  <c r="P32" i="1"/>
  <c r="Q32" i="1" s="1"/>
  <c r="G35" i="1" l="1"/>
  <c r="S34" i="1"/>
  <c r="M34" i="1"/>
  <c r="K34" i="1"/>
  <c r="L34" i="1" s="1"/>
  <c r="P33" i="1"/>
  <c r="Q33" i="1" s="1"/>
  <c r="P34" i="1" l="1"/>
  <c r="Q34" i="1" s="1"/>
  <c r="S35" i="1"/>
  <c r="G36" i="1"/>
  <c r="M35" i="1"/>
  <c r="K35" i="1"/>
  <c r="L35" i="1" s="1"/>
  <c r="P35" i="1"/>
  <c r="Q35" i="1" s="1"/>
  <c r="S36" i="1" l="1"/>
  <c r="G37" i="1"/>
  <c r="M36" i="1"/>
  <c r="K36" i="1"/>
  <c r="L36" i="1" s="1"/>
  <c r="P36" i="1"/>
  <c r="Q36" i="1" s="1"/>
  <c r="S37" i="1" l="1"/>
  <c r="M37" i="1"/>
  <c r="G38" i="1"/>
  <c r="K37" i="1"/>
  <c r="L37" i="1" s="1"/>
  <c r="P37" i="1" l="1"/>
  <c r="Q37" i="1" s="1"/>
  <c r="S38" i="1"/>
  <c r="G39" i="1"/>
  <c r="M38" i="1"/>
  <c r="K38" i="1"/>
  <c r="L38" i="1" s="1"/>
  <c r="P38" i="1" l="1"/>
  <c r="Q38" i="1" s="1"/>
  <c r="G40" i="1"/>
  <c r="S39" i="1"/>
  <c r="M39" i="1"/>
  <c r="K39" i="1"/>
  <c r="L39" i="1" s="1"/>
  <c r="P39" i="1"/>
  <c r="Q39" i="1" s="1"/>
  <c r="M40" i="1" l="1"/>
  <c r="G41" i="1"/>
  <c r="K40" i="1"/>
  <c r="L40" i="1" s="1"/>
  <c r="P40" i="1"/>
  <c r="Q40" i="1" s="1"/>
  <c r="S40" i="1"/>
  <c r="M41" i="1" l="1"/>
  <c r="S41" i="1"/>
  <c r="G42" i="1"/>
  <c r="K41" i="1"/>
  <c r="L41" i="1" s="1"/>
  <c r="P41" i="1" l="1"/>
  <c r="Q41" i="1" s="1"/>
  <c r="M42" i="1"/>
  <c r="K42" i="1"/>
  <c r="L42" i="1" s="1"/>
  <c r="G43" i="1"/>
  <c r="S42" i="1"/>
  <c r="P42" i="1"/>
  <c r="Q42" i="1" s="1"/>
  <c r="G44" i="1" l="1"/>
  <c r="S43" i="1"/>
  <c r="M43" i="1"/>
  <c r="K43" i="1"/>
  <c r="L43" i="1" s="1"/>
  <c r="G45" i="1" l="1"/>
  <c r="M44" i="1"/>
  <c r="K44" i="1"/>
  <c r="L44" i="1" s="1"/>
  <c r="S44" i="1"/>
  <c r="P43" i="1"/>
  <c r="Q43" i="1" s="1"/>
  <c r="P44" i="1" l="1"/>
  <c r="Q44" i="1" s="1"/>
  <c r="G46" i="1"/>
  <c r="M45" i="1"/>
  <c r="K45" i="1"/>
  <c r="L45" i="1" s="1"/>
  <c r="S45" i="1"/>
  <c r="P45" i="1"/>
  <c r="Q45" i="1" s="1"/>
  <c r="S46" i="1" l="1"/>
  <c r="G47" i="1"/>
  <c r="M46" i="1"/>
  <c r="K46" i="1"/>
  <c r="L46" i="1" s="1"/>
  <c r="P46" i="1"/>
  <c r="Q46" i="1" s="1"/>
  <c r="S47" i="1" l="1"/>
  <c r="M47" i="1"/>
  <c r="G48" i="1"/>
  <c r="K47" i="1"/>
  <c r="L47" i="1" s="1"/>
  <c r="P47" i="1"/>
  <c r="Q47" i="1" s="1"/>
  <c r="S48" i="1" l="1"/>
  <c r="M48" i="1"/>
  <c r="K48" i="1"/>
  <c r="L48" i="1" s="1"/>
  <c r="G49" i="1"/>
  <c r="P48" i="1"/>
  <c r="Q48" i="1" s="1"/>
  <c r="G50" i="1" l="1"/>
  <c r="S49" i="1"/>
  <c r="M49" i="1"/>
  <c r="K49" i="1"/>
  <c r="L49" i="1" s="1"/>
  <c r="P49" i="1"/>
  <c r="Q49" i="1" s="1"/>
  <c r="G51" i="1" l="1"/>
  <c r="S50" i="1"/>
  <c r="K50" i="1"/>
  <c r="L50" i="1" s="1"/>
  <c r="M50" i="1"/>
  <c r="P50" i="1"/>
  <c r="Q50" i="1" s="1"/>
  <c r="G52" i="1" l="1"/>
  <c r="S51" i="1"/>
  <c r="M51" i="1"/>
  <c r="K51" i="1"/>
  <c r="L51" i="1" s="1"/>
  <c r="P51" i="1" l="1"/>
  <c r="Q51" i="1" s="1"/>
  <c r="S52" i="1"/>
  <c r="M52" i="1"/>
  <c r="K52" i="1"/>
  <c r="L52" i="1" s="1"/>
  <c r="G53" i="1"/>
  <c r="K53" i="1" l="1"/>
  <c r="L53" i="1" s="1"/>
  <c r="S53" i="1"/>
  <c r="M53" i="1"/>
  <c r="G54" i="1"/>
  <c r="P53" i="1"/>
  <c r="Q53" i="1" s="1"/>
  <c r="P52" i="1"/>
  <c r="Q52" i="1" s="1"/>
  <c r="G55" i="1" l="1"/>
  <c r="S54" i="1"/>
  <c r="M54" i="1"/>
  <c r="K54" i="1"/>
  <c r="L54" i="1" s="1"/>
  <c r="M55" i="1" l="1"/>
  <c r="G56" i="1"/>
  <c r="S55" i="1"/>
  <c r="K55" i="1"/>
  <c r="L55" i="1" s="1"/>
  <c r="P54" i="1"/>
  <c r="Q54" i="1" s="1"/>
  <c r="P55" i="1" l="1"/>
  <c r="Q55" i="1" s="1"/>
  <c r="G57" i="1"/>
  <c r="M56" i="1"/>
  <c r="S56" i="1"/>
  <c r="K56" i="1"/>
  <c r="L56" i="1" s="1"/>
  <c r="P56" i="1" l="1"/>
  <c r="Q56" i="1" s="1"/>
  <c r="S57" i="1"/>
  <c r="G58" i="1"/>
  <c r="M57" i="1"/>
  <c r="K57" i="1"/>
  <c r="L57" i="1" s="1"/>
  <c r="P57" i="1"/>
  <c r="Q57" i="1" s="1"/>
  <c r="S58" i="1" l="1"/>
  <c r="G59" i="1"/>
  <c r="M58" i="1"/>
  <c r="K58" i="1"/>
  <c r="L58" i="1" s="1"/>
  <c r="P58" i="1" l="1"/>
  <c r="Q58" i="1" s="1"/>
  <c r="S59" i="1"/>
  <c r="M59" i="1"/>
  <c r="G60" i="1"/>
  <c r="K59" i="1"/>
  <c r="L59" i="1" s="1"/>
  <c r="S60" i="1" l="1"/>
  <c r="M60" i="1"/>
  <c r="G61" i="1"/>
  <c r="K60" i="1"/>
  <c r="L60" i="1" s="1"/>
  <c r="P59" i="1"/>
  <c r="Q59" i="1" s="1"/>
  <c r="G62" i="1" l="1"/>
  <c r="M61" i="1"/>
  <c r="S61" i="1"/>
  <c r="K61" i="1"/>
  <c r="L61" i="1" s="1"/>
  <c r="P61" i="1"/>
  <c r="Q61" i="1" s="1"/>
  <c r="P60" i="1"/>
  <c r="Q60" i="1" s="1"/>
  <c r="G63" i="1" l="1"/>
  <c r="S62" i="1"/>
  <c r="M62" i="1"/>
  <c r="K62" i="1"/>
  <c r="L62" i="1" s="1"/>
  <c r="P62" i="1" l="1"/>
  <c r="Q62" i="1" s="1"/>
  <c r="G64" i="1"/>
  <c r="S63" i="1"/>
  <c r="M63" i="1"/>
  <c r="K63" i="1"/>
  <c r="L63" i="1" s="1"/>
  <c r="P63" i="1" l="1"/>
  <c r="Q63" i="1" s="1"/>
  <c r="S64" i="1"/>
  <c r="G65" i="1"/>
  <c r="M64" i="1"/>
  <c r="K64" i="1"/>
  <c r="L64" i="1" s="1"/>
  <c r="P64" i="1"/>
  <c r="Q64" i="1" s="1"/>
  <c r="G66" i="1" l="1"/>
  <c r="M65" i="1"/>
  <c r="S65" i="1"/>
  <c r="K65" i="1"/>
  <c r="L65" i="1" s="1"/>
  <c r="P65" i="1" l="1"/>
  <c r="Q65" i="1" s="1"/>
  <c r="G67" i="1"/>
  <c r="S66" i="1"/>
  <c r="M66" i="1"/>
  <c r="K66" i="1"/>
  <c r="L66" i="1" s="1"/>
  <c r="P66" i="1" l="1"/>
  <c r="Q66" i="1" s="1"/>
  <c r="S67" i="1"/>
  <c r="M67" i="1"/>
  <c r="G68" i="1"/>
  <c r="K67" i="1"/>
  <c r="L67" i="1" s="1"/>
  <c r="P67" i="1" l="1"/>
  <c r="Q67" i="1" s="1"/>
  <c r="S68" i="1"/>
  <c r="G69" i="1"/>
  <c r="M68" i="1"/>
  <c r="K68" i="1"/>
  <c r="L68" i="1" s="1"/>
  <c r="G70" i="1" l="1"/>
  <c r="S69" i="1"/>
  <c r="M69" i="1"/>
  <c r="K69" i="1"/>
  <c r="L69" i="1" s="1"/>
  <c r="P69" i="1"/>
  <c r="Q69" i="1" s="1"/>
  <c r="P68" i="1"/>
  <c r="Q68" i="1" s="1"/>
  <c r="S70" i="1" l="1"/>
  <c r="M70" i="1"/>
  <c r="K70" i="1"/>
  <c r="L70" i="1" s="1"/>
  <c r="G71" i="1"/>
  <c r="P70" i="1" l="1"/>
  <c r="Q70" i="1" s="1"/>
  <c r="K71" i="1"/>
  <c r="L71" i="1" s="1"/>
  <c r="G72" i="1"/>
  <c r="M71" i="1"/>
  <c r="S71" i="1"/>
  <c r="P71" i="1"/>
  <c r="Q71" i="1" s="1"/>
  <c r="G73" i="1" l="1"/>
  <c r="S72" i="1"/>
  <c r="M72" i="1"/>
  <c r="K72" i="1"/>
  <c r="L72" i="1" s="1"/>
  <c r="P72" i="1" l="1"/>
  <c r="Q72" i="1" s="1"/>
  <c r="G74" i="1"/>
  <c r="S73" i="1"/>
  <c r="M73" i="1"/>
  <c r="K73" i="1"/>
  <c r="L73" i="1" s="1"/>
  <c r="P73" i="1" l="1"/>
  <c r="Q73" i="1" s="1"/>
  <c r="G75" i="1"/>
  <c r="S74" i="1"/>
  <c r="M74" i="1"/>
  <c r="K74" i="1"/>
  <c r="L74" i="1" s="1"/>
  <c r="P74" i="1" l="1"/>
  <c r="Q74" i="1" s="1"/>
  <c r="G76" i="1"/>
  <c r="M75" i="1"/>
  <c r="K75" i="1"/>
  <c r="L75" i="1" s="1"/>
  <c r="P75" i="1"/>
  <c r="Q75" i="1" s="1"/>
  <c r="S75" i="1"/>
  <c r="S76" i="1" l="1"/>
  <c r="G77" i="1"/>
  <c r="M76" i="1"/>
  <c r="K76" i="1"/>
  <c r="L76" i="1" s="1"/>
  <c r="P76" i="1" l="1"/>
  <c r="Q76" i="1" s="1"/>
  <c r="G78" i="1"/>
  <c r="S77" i="1"/>
  <c r="M77" i="1"/>
  <c r="K77" i="1"/>
  <c r="L77" i="1" s="1"/>
  <c r="P77" i="1" l="1"/>
  <c r="Q77" i="1" s="1"/>
  <c r="S78" i="1"/>
  <c r="G79" i="1"/>
  <c r="M78" i="1"/>
  <c r="K78" i="1"/>
  <c r="L78" i="1" s="1"/>
  <c r="G80" i="1" l="1"/>
  <c r="M79" i="1"/>
  <c r="K79" i="1"/>
  <c r="L79" i="1" s="1"/>
  <c r="S79" i="1"/>
  <c r="P78" i="1"/>
  <c r="Q78" i="1" s="1"/>
  <c r="P79" i="1" l="1"/>
  <c r="Q79" i="1" s="1"/>
  <c r="S80" i="1"/>
  <c r="K80" i="1"/>
  <c r="L80" i="1" s="1"/>
  <c r="G81" i="1"/>
  <c r="M80" i="1"/>
  <c r="P80" i="1" l="1"/>
  <c r="Q80" i="1" s="1"/>
  <c r="K81" i="1"/>
  <c r="L81" i="1" s="1"/>
  <c r="G82" i="1"/>
  <c r="S81" i="1"/>
  <c r="M81" i="1"/>
  <c r="P81" i="1"/>
  <c r="Q81" i="1" s="1"/>
  <c r="G83" i="1" l="1"/>
  <c r="M82" i="1"/>
  <c r="S82" i="1"/>
  <c r="K82" i="1"/>
  <c r="L82" i="1" s="1"/>
  <c r="P82" i="1"/>
  <c r="Q82" i="1" s="1"/>
  <c r="M83" i="1" l="1"/>
  <c r="G84" i="1"/>
  <c r="S83" i="1"/>
  <c r="K83" i="1"/>
  <c r="L83" i="1" s="1"/>
  <c r="P83" i="1"/>
  <c r="Q83" i="1" s="1"/>
  <c r="S84" i="1" l="1"/>
  <c r="G85" i="1"/>
  <c r="M84" i="1"/>
  <c r="K84" i="1"/>
  <c r="L84" i="1" s="1"/>
  <c r="P84" i="1" l="1"/>
  <c r="Q84" i="1" s="1"/>
  <c r="S85" i="1"/>
  <c r="M85" i="1"/>
  <c r="K85" i="1"/>
  <c r="L85" i="1" s="1"/>
  <c r="G86" i="1"/>
  <c r="P85" i="1"/>
  <c r="Q85" i="1" s="1"/>
  <c r="G87" i="1" l="1"/>
  <c r="S86" i="1"/>
  <c r="M86" i="1"/>
  <c r="K86" i="1"/>
  <c r="L86" i="1" s="1"/>
  <c r="P86" i="1" l="1"/>
  <c r="Q86" i="1" s="1"/>
  <c r="S87" i="1"/>
  <c r="G88" i="1"/>
  <c r="M87" i="1"/>
  <c r="K87" i="1"/>
  <c r="L87" i="1" s="1"/>
  <c r="P87" i="1" l="1"/>
  <c r="Q87" i="1" s="1"/>
  <c r="S88" i="1"/>
  <c r="M88" i="1"/>
  <c r="G89" i="1"/>
  <c r="K88" i="1"/>
  <c r="L88" i="1" s="1"/>
  <c r="P88" i="1" l="1"/>
  <c r="Q88" i="1" s="1"/>
  <c r="M89" i="1"/>
  <c r="G90" i="1"/>
  <c r="K89" i="1"/>
  <c r="L89" i="1" s="1"/>
  <c r="P89" i="1"/>
  <c r="Q89" i="1" s="1"/>
  <c r="S89" i="1"/>
  <c r="S90" i="1" l="1"/>
  <c r="M90" i="1"/>
  <c r="K90" i="1"/>
  <c r="L90" i="1" s="1"/>
  <c r="G91" i="1"/>
  <c r="P90" i="1"/>
  <c r="Q90" i="1" s="1"/>
  <c r="S91" i="1" l="1"/>
  <c r="K91" i="1"/>
  <c r="L91" i="1" s="1"/>
  <c r="M91" i="1"/>
  <c r="G92" i="1"/>
  <c r="P91" i="1" l="1"/>
  <c r="Q91" i="1" s="1"/>
  <c r="G93" i="1"/>
  <c r="S92" i="1"/>
  <c r="M92" i="1"/>
  <c r="K92" i="1"/>
  <c r="L92" i="1" s="1"/>
  <c r="P92" i="1" l="1"/>
  <c r="Q92" i="1" s="1"/>
  <c r="G94" i="1"/>
  <c r="S93" i="1"/>
  <c r="M93" i="1"/>
  <c r="K93" i="1"/>
  <c r="L93" i="1" s="1"/>
  <c r="P93" i="1"/>
  <c r="Q93" i="1" s="1"/>
  <c r="G95" i="1" l="1"/>
  <c r="M94" i="1"/>
  <c r="S94" i="1"/>
  <c r="K94" i="1"/>
  <c r="L94" i="1" s="1"/>
  <c r="P94" i="1"/>
  <c r="Q94" i="1" s="1"/>
  <c r="K95" i="1" l="1"/>
  <c r="L95" i="1" s="1"/>
  <c r="G96" i="1"/>
  <c r="S95" i="1"/>
  <c r="M95" i="1"/>
  <c r="P95" i="1" l="1"/>
  <c r="Q95" i="1" s="1"/>
  <c r="G97" i="1"/>
  <c r="K96" i="1"/>
  <c r="L96" i="1" s="1"/>
  <c r="M96" i="1"/>
  <c r="S96" i="1"/>
  <c r="P96" i="1"/>
  <c r="Q96" i="1" s="1"/>
  <c r="S97" i="1" l="1"/>
  <c r="K97" i="1"/>
  <c r="L97" i="1" s="1"/>
  <c r="G98" i="1"/>
  <c r="M97" i="1"/>
  <c r="P97" i="1" l="1"/>
  <c r="Q97" i="1" s="1"/>
  <c r="G99" i="1"/>
  <c r="S98" i="1"/>
  <c r="K98" i="1"/>
  <c r="L98" i="1" s="1"/>
  <c r="M98" i="1"/>
  <c r="P98" i="1"/>
  <c r="Q98" i="1" s="1"/>
  <c r="K99" i="1" l="1"/>
  <c r="L99" i="1" s="1"/>
  <c r="G100" i="1"/>
  <c r="M99" i="1"/>
  <c r="P99" i="1"/>
  <c r="Q99" i="1" s="1"/>
  <c r="S99" i="1"/>
  <c r="G101" i="1" l="1"/>
  <c r="S100" i="1"/>
  <c r="M100" i="1"/>
  <c r="K100" i="1"/>
  <c r="L100" i="1" s="1"/>
  <c r="P100" i="1"/>
  <c r="Q100" i="1" s="1"/>
  <c r="G102" i="1" l="1"/>
  <c r="S101" i="1"/>
  <c r="M101" i="1"/>
  <c r="K101" i="1"/>
  <c r="L101" i="1" s="1"/>
  <c r="P101" i="1" l="1"/>
  <c r="Q101" i="1" s="1"/>
  <c r="S102" i="1"/>
  <c r="K102" i="1"/>
  <c r="L102" i="1" s="1"/>
  <c r="G103" i="1"/>
  <c r="M102" i="1"/>
  <c r="P102" i="1"/>
  <c r="Q102" i="1" s="1"/>
  <c r="S103" i="1" l="1"/>
  <c r="M103" i="1"/>
  <c r="G104" i="1"/>
  <c r="K103" i="1"/>
  <c r="L103" i="1" s="1"/>
  <c r="P103" i="1" l="1"/>
  <c r="Q103" i="1" s="1"/>
  <c r="G105" i="1"/>
  <c r="S104" i="1"/>
  <c r="K104" i="1"/>
  <c r="L104" i="1" s="1"/>
  <c r="M104" i="1"/>
  <c r="P104" i="1"/>
  <c r="Q104" i="1" s="1"/>
  <c r="G106" i="1" l="1"/>
  <c r="S105" i="1"/>
  <c r="K105" i="1"/>
  <c r="L105" i="1" s="1"/>
  <c r="M105" i="1"/>
  <c r="P105" i="1" l="1"/>
  <c r="Q105" i="1" s="1"/>
  <c r="S106" i="1"/>
  <c r="G107" i="1"/>
  <c r="M106" i="1"/>
  <c r="K106" i="1"/>
  <c r="L106" i="1" s="1"/>
  <c r="P106" i="1" l="1"/>
  <c r="Q106" i="1" s="1"/>
  <c r="S107" i="1"/>
  <c r="K107" i="1"/>
  <c r="L107" i="1" s="1"/>
  <c r="G108" i="1"/>
  <c r="M107" i="1"/>
  <c r="P107" i="1"/>
  <c r="Q107" i="1" s="1"/>
  <c r="M108" i="1" l="1"/>
  <c r="S108" i="1"/>
  <c r="G109" i="1"/>
  <c r="K108" i="1"/>
  <c r="L108" i="1" s="1"/>
  <c r="P108" i="1" l="1"/>
  <c r="Q108" i="1" s="1"/>
  <c r="G110" i="1"/>
  <c r="K109" i="1"/>
  <c r="L109" i="1" s="1"/>
  <c r="S109" i="1"/>
  <c r="M109" i="1"/>
  <c r="P109" i="1"/>
  <c r="Q109" i="1" s="1"/>
  <c r="G111" i="1" l="1"/>
  <c r="M110" i="1"/>
  <c r="S110" i="1"/>
  <c r="K110" i="1"/>
  <c r="L110" i="1" s="1"/>
  <c r="P110" i="1" l="1"/>
  <c r="Q110" i="1" s="1"/>
  <c r="M111" i="1"/>
  <c r="G112" i="1"/>
  <c r="S111" i="1"/>
  <c r="K111" i="1"/>
  <c r="L111" i="1" s="1"/>
  <c r="P111" i="1"/>
  <c r="Q111" i="1" s="1"/>
  <c r="G113" i="1" l="1"/>
  <c r="M112" i="1"/>
  <c r="S112" i="1"/>
  <c r="K112" i="1"/>
  <c r="L112" i="1" s="1"/>
  <c r="P112" i="1" l="1"/>
  <c r="Q112" i="1" s="1"/>
  <c r="S113" i="1"/>
  <c r="G114" i="1"/>
  <c r="M113" i="1"/>
  <c r="K113" i="1"/>
  <c r="L113" i="1" s="1"/>
  <c r="P113" i="1"/>
  <c r="Q113" i="1" s="1"/>
  <c r="S114" i="1" l="1"/>
  <c r="M114" i="1"/>
  <c r="G115" i="1"/>
  <c r="K114" i="1"/>
  <c r="L114" i="1" s="1"/>
  <c r="G116" i="1" l="1"/>
  <c r="S115" i="1"/>
  <c r="M115" i="1"/>
  <c r="K115" i="1"/>
  <c r="L115" i="1" s="1"/>
  <c r="P115" i="1"/>
  <c r="Q115" i="1" s="1"/>
  <c r="P114" i="1"/>
  <c r="Q114" i="1" s="1"/>
  <c r="S116" i="1" l="1"/>
  <c r="G117" i="1"/>
  <c r="M116" i="1"/>
  <c r="K116" i="1"/>
  <c r="L116" i="1" s="1"/>
  <c r="P116" i="1" l="1"/>
  <c r="Q116" i="1" s="1"/>
  <c r="S117" i="1"/>
  <c r="M117" i="1"/>
  <c r="G118" i="1"/>
  <c r="K117" i="1"/>
  <c r="L117" i="1" s="1"/>
  <c r="S118" i="1" l="1"/>
  <c r="M118" i="1"/>
  <c r="G119" i="1"/>
  <c r="K118" i="1"/>
  <c r="L118" i="1" s="1"/>
  <c r="P117" i="1"/>
  <c r="Q117" i="1" s="1"/>
  <c r="P118" i="1" l="1"/>
  <c r="Q118" i="1" s="1"/>
  <c r="S119" i="1"/>
  <c r="M119" i="1"/>
  <c r="G120" i="1"/>
  <c r="K119" i="1"/>
  <c r="L119" i="1" s="1"/>
  <c r="P119" i="1"/>
  <c r="Q119" i="1" s="1"/>
  <c r="G121" i="1" l="1"/>
  <c r="S120" i="1"/>
  <c r="M120" i="1"/>
  <c r="K120" i="1"/>
  <c r="L120" i="1" s="1"/>
  <c r="P120" i="1" l="1"/>
  <c r="Q120" i="1" s="1"/>
  <c r="G122" i="1"/>
  <c r="S121" i="1"/>
  <c r="M121" i="1"/>
  <c r="K121" i="1"/>
  <c r="L121" i="1" s="1"/>
  <c r="P121" i="1"/>
  <c r="Q121" i="1" s="1"/>
  <c r="G123" i="1" l="1"/>
  <c r="S122" i="1"/>
  <c r="K122" i="1"/>
  <c r="L122" i="1" s="1"/>
  <c r="M122" i="1"/>
  <c r="P122" i="1"/>
  <c r="Q122" i="1" s="1"/>
  <c r="M123" i="1" l="1"/>
  <c r="G124" i="1"/>
  <c r="S123" i="1"/>
  <c r="K123" i="1"/>
  <c r="L123" i="1" s="1"/>
  <c r="P123" i="1" l="1"/>
  <c r="Q123" i="1" s="1"/>
  <c r="S124" i="1"/>
  <c r="AJ114" i="1" s="1"/>
  <c r="AJ115" i="1" s="1"/>
  <c r="M124" i="1"/>
  <c r="K124" i="1"/>
  <c r="L124" i="1" s="1"/>
  <c r="X114" i="1"/>
  <c r="AA114" i="1" l="1"/>
  <c r="X116" i="1"/>
  <c r="P124" i="1"/>
  <c r="Q124" i="1" s="1"/>
</calcChain>
</file>

<file path=xl/sharedStrings.xml><?xml version="1.0" encoding="utf-8"?>
<sst xmlns="http://schemas.openxmlformats.org/spreadsheetml/2006/main" count="11" uniqueCount="10">
  <si>
    <t>Alignment</t>
  </si>
  <si>
    <t>Max Overhead</t>
  </si>
  <si>
    <t>Per thread</t>
  </si>
  <si>
    <t>Mult</t>
  </si>
  <si>
    <t>Sub slabs</t>
  </si>
  <si>
    <t>Slab size</t>
  </si>
  <si>
    <t>Overhead</t>
  </si>
  <si>
    <t>Max int frag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</si>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</sst>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J515"/>
  <sheetViews>
    <sheetView tabSelected="1" topLeftCell="A84" workbookViewId="0">
      <selection activeCell="G125" sqref="G125:G140"/>
    </sheetView>
  </sheetViews>
  <sheetFormatPr baseColWidth="10" defaultColWidth="8.83203125" defaultRowHeight="15" x14ac:dyDescent="0.2"/>
  <cols>
    <col min="7" max="7" width="13.6640625" customWidth="1"/>
    <col min="8" max="8" width="16.83203125" customWidth="1"/>
    <col min="10" max="10" width="16.1640625" customWidth="1"/>
    <col min="13" max="13" width="10.33203125" customWidth="1"/>
  </cols>
  <sheetData>
    <row r="3" spans="1:19" x14ac:dyDescent="0.2">
      <c r="L3" t="s">
        <v>6</v>
      </c>
      <c r="M3" t="s">
        <v>7</v>
      </c>
      <c r="O3" t="s">
        <v>0</v>
      </c>
      <c r="S3" t="s">
        <v>1</v>
      </c>
    </row>
    <row r="4" spans="1:19" x14ac:dyDescent="0.2">
      <c r="G4">
        <v>1</v>
      </c>
      <c r="H4">
        <v>1</v>
      </c>
      <c r="I4">
        <v>1</v>
      </c>
      <c r="J4">
        <f t="shared" ref="J4:J23" si="0">4096*I4</f>
        <v>4096</v>
      </c>
      <c r="K4">
        <f>FLOOR((J4-56)/G4,1)</f>
        <v>4040</v>
      </c>
      <c r="L4" s="1">
        <f t="shared" ref="L4:L7" si="1">(J4-K4*G4)/J4</f>
        <v>1.3671875E-2</v>
      </c>
      <c r="M4" s="1">
        <f t="shared" ref="M4:M6" si="2">(G4-(G3+1))/(G4)</f>
        <v>0</v>
      </c>
      <c r="O4">
        <v>1</v>
      </c>
      <c r="P4">
        <f>J4-G4*K4</f>
        <v>56</v>
      </c>
      <c r="Q4">
        <f>P4/I4</f>
        <v>56</v>
      </c>
      <c r="S4">
        <f t="shared" ref="S4:S67" si="3">FLOOR((G4 + 4095)/4096, 1)*4096 - G4</f>
        <v>4095</v>
      </c>
    </row>
    <row r="5" spans="1:19" x14ac:dyDescent="0.2">
      <c r="G5">
        <v>2</v>
      </c>
      <c r="H5">
        <v>2</v>
      </c>
      <c r="I5">
        <v>1</v>
      </c>
      <c r="J5">
        <f t="shared" si="0"/>
        <v>4096</v>
      </c>
      <c r="K5">
        <f t="shared" ref="K5:K7" si="4">FLOOR((J5-24)/G5,1)</f>
        <v>2036</v>
      </c>
      <c r="L5" s="1">
        <f t="shared" si="1"/>
        <v>5.859375E-3</v>
      </c>
      <c r="M5" s="1">
        <f t="shared" si="2"/>
        <v>0</v>
      </c>
      <c r="O5">
        <v>2</v>
      </c>
      <c r="P5">
        <f>J5-G5*K5</f>
        <v>24</v>
      </c>
      <c r="Q5">
        <f t="shared" ref="Q5:Q68" si="5">P5/I5</f>
        <v>24</v>
      </c>
      <c r="S5">
        <f t="shared" si="3"/>
        <v>4094</v>
      </c>
    </row>
    <row r="6" spans="1:19" x14ac:dyDescent="0.2">
      <c r="G6">
        <v>4</v>
      </c>
      <c r="H6">
        <v>4</v>
      </c>
      <c r="I6">
        <v>1</v>
      </c>
      <c r="J6">
        <f t="shared" si="0"/>
        <v>4096</v>
      </c>
      <c r="K6">
        <f t="shared" si="4"/>
        <v>1018</v>
      </c>
      <c r="L6" s="1">
        <f t="shared" si="1"/>
        <v>5.859375E-3</v>
      </c>
      <c r="M6" s="1">
        <f t="shared" si="2"/>
        <v>0.25</v>
      </c>
      <c r="N6">
        <f>J6/4096</f>
        <v>1</v>
      </c>
      <c r="O6">
        <v>4</v>
      </c>
      <c r="P6">
        <f t="shared" ref="P6:P66" si="6">J6-G6*K6</f>
        <v>24</v>
      </c>
      <c r="Q6">
        <f t="shared" si="5"/>
        <v>24</v>
      </c>
      <c r="S6">
        <f t="shared" si="3"/>
        <v>4092</v>
      </c>
    </row>
    <row r="7" spans="1:19" x14ac:dyDescent="0.2">
      <c r="G7">
        <v>8</v>
      </c>
      <c r="H7">
        <v>4</v>
      </c>
      <c r="I7">
        <v>1</v>
      </c>
      <c r="J7">
        <f t="shared" si="0"/>
        <v>4096</v>
      </c>
      <c r="K7">
        <f t="shared" si="4"/>
        <v>509</v>
      </c>
      <c r="L7" s="1">
        <f t="shared" si="1"/>
        <v>5.859375E-3</v>
      </c>
      <c r="M7" s="1">
        <f>(G7-(G6+1))/(G7)</f>
        <v>0.375</v>
      </c>
      <c r="N7">
        <f t="shared" ref="N7:N70" si="7">J7/4096</f>
        <v>1</v>
      </c>
      <c r="O7">
        <v>8</v>
      </c>
      <c r="P7">
        <f t="shared" si="6"/>
        <v>24</v>
      </c>
      <c r="Q7">
        <f t="shared" si="5"/>
        <v>24</v>
      </c>
      <c r="S7">
        <f t="shared" si="3"/>
        <v>4088</v>
      </c>
    </row>
    <row r="8" spans="1:19" x14ac:dyDescent="0.2">
      <c r="G8">
        <f t="shared" ref="G8:G71" si="8">G7+H8</f>
        <v>12</v>
      </c>
      <c r="H8">
        <v>4</v>
      </c>
      <c r="I8">
        <v>1</v>
      </c>
      <c r="J8">
        <v>4096</v>
      </c>
      <c r="K8">
        <f>FLOOR((J8-24)/G8,1)</f>
        <v>339</v>
      </c>
      <c r="L8" s="1">
        <f>(J8-K8*G8)/J8</f>
        <v>6.8359375E-3</v>
      </c>
      <c r="M8" s="1">
        <f t="shared" ref="M8:M71" si="9">(G8-(G7+1))/(G8)</f>
        <v>0.25</v>
      </c>
      <c r="N8">
        <f t="shared" si="7"/>
        <v>1</v>
      </c>
      <c r="O8">
        <v>4</v>
      </c>
      <c r="P8">
        <f t="shared" si="6"/>
        <v>28</v>
      </c>
      <c r="Q8">
        <f t="shared" si="5"/>
        <v>28</v>
      </c>
      <c r="S8">
        <f t="shared" si="3"/>
        <v>4084</v>
      </c>
    </row>
    <row r="9" spans="1:19" x14ac:dyDescent="0.2">
      <c r="G9">
        <f>G8+H9</f>
        <v>16</v>
      </c>
      <c r="H9">
        <v>4</v>
      </c>
      <c r="I9">
        <v>1</v>
      </c>
      <c r="J9">
        <f t="shared" si="0"/>
        <v>4096</v>
      </c>
      <c r="K9">
        <f>FLOOR((J9-24)/G9,1)</f>
        <v>254</v>
      </c>
      <c r="L9" s="1">
        <f t="shared" ref="L9:L72" si="10">(J9-K9*G9)/J9</f>
        <v>7.8125E-3</v>
      </c>
      <c r="M9" s="1">
        <f>(G9-(G8+1))/(G9)</f>
        <v>0.1875</v>
      </c>
      <c r="N9">
        <f t="shared" si="7"/>
        <v>1</v>
      </c>
      <c r="O9">
        <v>16</v>
      </c>
      <c r="P9">
        <f t="shared" si="6"/>
        <v>32</v>
      </c>
      <c r="Q9">
        <f t="shared" si="5"/>
        <v>32</v>
      </c>
      <c r="S9">
        <f t="shared" si="3"/>
        <v>4080</v>
      </c>
    </row>
    <row r="10" spans="1:19" x14ac:dyDescent="0.2">
      <c r="G10">
        <f>G9+H10</f>
        <v>20</v>
      </c>
      <c r="H10">
        <v>4</v>
      </c>
      <c r="I10">
        <v>5</v>
      </c>
      <c r="J10">
        <f t="shared" si="0"/>
        <v>20480</v>
      </c>
      <c r="K10">
        <f t="shared" ref="K10:K72" si="11">FLOOR(J10/G10,1)</f>
        <v>1024</v>
      </c>
      <c r="L10" s="1">
        <f t="shared" si="10"/>
        <v>0</v>
      </c>
      <c r="M10" s="1">
        <f>(G10-(G9+1))/(G10)</f>
        <v>0.15</v>
      </c>
      <c r="N10">
        <f t="shared" si="7"/>
        <v>5</v>
      </c>
      <c r="O10">
        <v>4</v>
      </c>
      <c r="P10">
        <f t="shared" si="6"/>
        <v>0</v>
      </c>
      <c r="Q10">
        <f t="shared" si="5"/>
        <v>0</v>
      </c>
      <c r="S10">
        <f t="shared" si="3"/>
        <v>4076</v>
      </c>
    </row>
    <row r="11" spans="1:19" x14ac:dyDescent="0.2">
      <c r="G11">
        <f>G10+H11</f>
        <v>24</v>
      </c>
      <c r="H11">
        <v>4</v>
      </c>
      <c r="I11">
        <v>3</v>
      </c>
      <c r="J11">
        <f t="shared" si="0"/>
        <v>12288</v>
      </c>
      <c r="K11">
        <f t="shared" si="11"/>
        <v>512</v>
      </c>
      <c r="L11" s="1">
        <f t="shared" si="10"/>
        <v>0</v>
      </c>
      <c r="M11" s="1">
        <f>(G11-(G10+1))/(G11)</f>
        <v>0.125</v>
      </c>
      <c r="N11">
        <f t="shared" si="7"/>
        <v>3</v>
      </c>
      <c r="O11">
        <v>8</v>
      </c>
      <c r="P11">
        <f t="shared" si="6"/>
        <v>0</v>
      </c>
      <c r="Q11">
        <f t="shared" si="5"/>
        <v>0</v>
      </c>
      <c r="S11">
        <f t="shared" si="3"/>
        <v>4072</v>
      </c>
    </row>
    <row r="12" spans="1:19" x14ac:dyDescent="0.2">
      <c r="G12">
        <f>G11+H12</f>
        <v>28</v>
      </c>
      <c r="H12">
        <v>4</v>
      </c>
      <c r="I12">
        <v>7</v>
      </c>
      <c r="J12">
        <f t="shared" si="0"/>
        <v>28672</v>
      </c>
      <c r="K12">
        <f t="shared" si="11"/>
        <v>1024</v>
      </c>
      <c r="L12" s="1">
        <f t="shared" si="10"/>
        <v>0</v>
      </c>
      <c r="M12" s="1">
        <f>(G12-(G11+1))/(G12)</f>
        <v>0.10714285714285714</v>
      </c>
      <c r="N12">
        <f t="shared" si="7"/>
        <v>7</v>
      </c>
      <c r="O12">
        <v>4</v>
      </c>
      <c r="P12">
        <f t="shared" si="6"/>
        <v>0</v>
      </c>
      <c r="Q12">
        <f t="shared" si="5"/>
        <v>0</v>
      </c>
      <c r="S12">
        <f t="shared" si="3"/>
        <v>4068</v>
      </c>
    </row>
    <row r="13" spans="1:19" x14ac:dyDescent="0.2">
      <c r="G13">
        <f>G12+H13</f>
        <v>32</v>
      </c>
      <c r="H13">
        <v>4</v>
      </c>
      <c r="I13">
        <v>1</v>
      </c>
      <c r="J13">
        <f t="shared" si="0"/>
        <v>4096</v>
      </c>
      <c r="K13">
        <f t="shared" si="11"/>
        <v>128</v>
      </c>
      <c r="L13" s="1">
        <f t="shared" si="10"/>
        <v>0</v>
      </c>
      <c r="M13" s="1">
        <f>(G13-(G12+1))/(G13)</f>
        <v>9.375E-2</v>
      </c>
      <c r="N13">
        <f t="shared" si="7"/>
        <v>1</v>
      </c>
      <c r="O13">
        <v>32</v>
      </c>
      <c r="P13">
        <f t="shared" si="6"/>
        <v>0</v>
      </c>
      <c r="Q13">
        <f t="shared" si="5"/>
        <v>0</v>
      </c>
      <c r="S13">
        <f t="shared" si="3"/>
        <v>4064</v>
      </c>
    </row>
    <row r="14" spans="1:19" x14ac:dyDescent="0.2">
      <c r="A14" t="s">
        <v>6</v>
      </c>
      <c r="C14" t="s">
        <v>3</v>
      </c>
      <c r="D14" t="s">
        <v>4</v>
      </c>
      <c r="F14" t="s">
        <v>5</v>
      </c>
      <c r="G14">
        <f t="shared" si="8"/>
        <v>36</v>
      </c>
      <c r="H14">
        <v>4</v>
      </c>
      <c r="I14">
        <v>9</v>
      </c>
      <c r="J14">
        <f t="shared" si="0"/>
        <v>36864</v>
      </c>
      <c r="K14">
        <f t="shared" si="11"/>
        <v>1024</v>
      </c>
      <c r="L14" s="1">
        <f t="shared" si="10"/>
        <v>0</v>
      </c>
      <c r="M14" s="1">
        <f t="shared" si="9"/>
        <v>8.3333333333333329E-2</v>
      </c>
      <c r="N14">
        <f t="shared" si="7"/>
        <v>9</v>
      </c>
      <c r="O14">
        <v>4</v>
      </c>
      <c r="P14">
        <f t="shared" si="6"/>
        <v>0</v>
      </c>
      <c r="Q14">
        <f t="shared" si="5"/>
        <v>0</v>
      </c>
      <c r="S14">
        <f t="shared" si="3"/>
        <v>4060</v>
      </c>
    </row>
    <row r="15" spans="1:19" x14ac:dyDescent="0.2">
      <c r="A15">
        <f t="shared" ref="A15:A22" si="12">B15-E15</f>
        <v>3</v>
      </c>
      <c r="B15">
        <v>4096</v>
      </c>
      <c r="C15">
        <v>1</v>
      </c>
      <c r="D15">
        <f>FLOOR((B15-3)/C15,1)</f>
        <v>4093</v>
      </c>
      <c r="E15">
        <f t="shared" ref="E15:E22" si="13">D15*C15</f>
        <v>4093</v>
      </c>
      <c r="F15">
        <f t="shared" ref="F15" si="14">B15*4</f>
        <v>16384</v>
      </c>
      <c r="G15">
        <f t="shared" si="8"/>
        <v>40</v>
      </c>
      <c r="H15">
        <v>4</v>
      </c>
      <c r="I15">
        <v>5</v>
      </c>
      <c r="J15">
        <f t="shared" si="0"/>
        <v>20480</v>
      </c>
      <c r="K15">
        <f t="shared" si="11"/>
        <v>512</v>
      </c>
      <c r="L15" s="1">
        <f t="shared" si="10"/>
        <v>0</v>
      </c>
      <c r="M15" s="1">
        <f t="shared" si="9"/>
        <v>7.4999999999999997E-2</v>
      </c>
      <c r="N15">
        <f t="shared" si="7"/>
        <v>5</v>
      </c>
      <c r="O15">
        <v>8</v>
      </c>
      <c r="P15">
        <f t="shared" si="6"/>
        <v>0</v>
      </c>
      <c r="Q15">
        <f t="shared" si="5"/>
        <v>0</v>
      </c>
      <c r="S15">
        <f t="shared" si="3"/>
        <v>4056</v>
      </c>
    </row>
    <row r="16" spans="1:19" x14ac:dyDescent="0.2">
      <c r="A16">
        <f t="shared" si="12"/>
        <v>1</v>
      </c>
      <c r="B16">
        <f>B15</f>
        <v>4096</v>
      </c>
      <c r="C16">
        <v>9</v>
      </c>
      <c r="D16">
        <f t="shared" ref="D16:D22" si="15">FLOOR((B16-1)/C16,1)</f>
        <v>455</v>
      </c>
      <c r="E16">
        <f t="shared" si="13"/>
        <v>4095</v>
      </c>
      <c r="F16">
        <f t="shared" ref="F16:F22" si="16">B16*4</f>
        <v>16384</v>
      </c>
      <c r="G16">
        <f t="shared" si="8"/>
        <v>44</v>
      </c>
      <c r="H16">
        <v>4</v>
      </c>
      <c r="I16">
        <v>11</v>
      </c>
      <c r="J16">
        <f t="shared" si="0"/>
        <v>45056</v>
      </c>
      <c r="K16">
        <f t="shared" si="11"/>
        <v>1024</v>
      </c>
      <c r="L16" s="1">
        <f t="shared" si="10"/>
        <v>0</v>
      </c>
      <c r="M16" s="1">
        <f t="shared" si="9"/>
        <v>6.8181818181818177E-2</v>
      </c>
      <c r="N16">
        <f t="shared" si="7"/>
        <v>11</v>
      </c>
      <c r="O16">
        <v>4</v>
      </c>
      <c r="P16">
        <f t="shared" si="6"/>
        <v>0</v>
      </c>
      <c r="Q16">
        <f t="shared" si="5"/>
        <v>0</v>
      </c>
      <c r="S16">
        <f t="shared" si="3"/>
        <v>4052</v>
      </c>
    </row>
    <row r="17" spans="1:19" x14ac:dyDescent="0.2">
      <c r="A17">
        <f t="shared" si="12"/>
        <v>1</v>
      </c>
      <c r="B17">
        <f t="shared" ref="B17:B22" si="17">B16</f>
        <v>4096</v>
      </c>
      <c r="C17">
        <v>5</v>
      </c>
      <c r="D17">
        <f t="shared" si="15"/>
        <v>819</v>
      </c>
      <c r="E17">
        <f t="shared" si="13"/>
        <v>4095</v>
      </c>
      <c r="F17">
        <f t="shared" si="16"/>
        <v>16384</v>
      </c>
      <c r="G17">
        <f t="shared" si="8"/>
        <v>48</v>
      </c>
      <c r="H17">
        <v>4</v>
      </c>
      <c r="I17">
        <v>3</v>
      </c>
      <c r="J17">
        <f t="shared" si="0"/>
        <v>12288</v>
      </c>
      <c r="K17">
        <f t="shared" si="11"/>
        <v>256</v>
      </c>
      <c r="L17" s="1">
        <f t="shared" si="10"/>
        <v>0</v>
      </c>
      <c r="M17" s="1">
        <f t="shared" si="9"/>
        <v>6.25E-2</v>
      </c>
      <c r="N17">
        <f t="shared" si="7"/>
        <v>3</v>
      </c>
      <c r="O17">
        <v>16</v>
      </c>
      <c r="P17">
        <f t="shared" si="6"/>
        <v>0</v>
      </c>
      <c r="Q17">
        <f t="shared" si="5"/>
        <v>0</v>
      </c>
      <c r="S17">
        <f t="shared" si="3"/>
        <v>4048</v>
      </c>
    </row>
    <row r="18" spans="1:19" x14ac:dyDescent="0.2">
      <c r="A18">
        <f t="shared" si="12"/>
        <v>4</v>
      </c>
      <c r="B18">
        <f t="shared" si="17"/>
        <v>4096</v>
      </c>
      <c r="C18">
        <v>11</v>
      </c>
      <c r="D18">
        <f t="shared" si="15"/>
        <v>372</v>
      </c>
      <c r="E18">
        <f t="shared" si="13"/>
        <v>4092</v>
      </c>
      <c r="F18">
        <f t="shared" si="16"/>
        <v>16384</v>
      </c>
      <c r="G18">
        <f t="shared" si="8"/>
        <v>52</v>
      </c>
      <c r="H18">
        <v>4</v>
      </c>
      <c r="I18">
        <v>13</v>
      </c>
      <c r="J18">
        <f t="shared" si="0"/>
        <v>53248</v>
      </c>
      <c r="K18">
        <f t="shared" si="11"/>
        <v>1024</v>
      </c>
      <c r="L18" s="1">
        <f t="shared" si="10"/>
        <v>0</v>
      </c>
      <c r="M18" s="1">
        <f t="shared" si="9"/>
        <v>5.7692307692307696E-2</v>
      </c>
      <c r="N18">
        <f t="shared" si="7"/>
        <v>13</v>
      </c>
      <c r="O18">
        <v>4</v>
      </c>
      <c r="P18">
        <f t="shared" si="6"/>
        <v>0</v>
      </c>
      <c r="Q18">
        <f t="shared" si="5"/>
        <v>0</v>
      </c>
      <c r="S18">
        <f t="shared" si="3"/>
        <v>4044</v>
      </c>
    </row>
    <row r="19" spans="1:19" x14ac:dyDescent="0.2">
      <c r="A19">
        <f t="shared" si="12"/>
        <v>1</v>
      </c>
      <c r="B19">
        <f t="shared" si="17"/>
        <v>4096</v>
      </c>
      <c r="C19">
        <v>3</v>
      </c>
      <c r="D19">
        <f t="shared" si="15"/>
        <v>1365</v>
      </c>
      <c r="E19">
        <f t="shared" si="13"/>
        <v>4095</v>
      </c>
      <c r="F19">
        <f t="shared" si="16"/>
        <v>16384</v>
      </c>
      <c r="G19">
        <f t="shared" si="8"/>
        <v>56</v>
      </c>
      <c r="H19">
        <v>4</v>
      </c>
      <c r="I19">
        <v>7</v>
      </c>
      <c r="J19">
        <f t="shared" si="0"/>
        <v>28672</v>
      </c>
      <c r="K19">
        <f t="shared" si="11"/>
        <v>512</v>
      </c>
      <c r="L19" s="1">
        <f t="shared" si="10"/>
        <v>0</v>
      </c>
      <c r="M19" s="1">
        <f t="shared" si="9"/>
        <v>5.3571428571428568E-2</v>
      </c>
      <c r="N19">
        <f t="shared" si="7"/>
        <v>7</v>
      </c>
      <c r="O19">
        <v>8</v>
      </c>
      <c r="P19">
        <f t="shared" si="6"/>
        <v>0</v>
      </c>
      <c r="Q19">
        <f t="shared" si="5"/>
        <v>0</v>
      </c>
      <c r="S19">
        <f t="shared" si="3"/>
        <v>4040</v>
      </c>
    </row>
    <row r="20" spans="1:19" x14ac:dyDescent="0.2">
      <c r="A20">
        <f t="shared" si="12"/>
        <v>1</v>
      </c>
      <c r="B20">
        <f t="shared" si="17"/>
        <v>4096</v>
      </c>
      <c r="C20">
        <v>13</v>
      </c>
      <c r="D20">
        <f t="shared" si="15"/>
        <v>315</v>
      </c>
      <c r="E20">
        <f t="shared" si="13"/>
        <v>4095</v>
      </c>
      <c r="F20">
        <f t="shared" si="16"/>
        <v>16384</v>
      </c>
      <c r="G20">
        <f t="shared" si="8"/>
        <v>60</v>
      </c>
      <c r="H20">
        <v>4</v>
      </c>
      <c r="I20">
        <v>15</v>
      </c>
      <c r="J20">
        <f t="shared" si="0"/>
        <v>61440</v>
      </c>
      <c r="K20">
        <f t="shared" si="11"/>
        <v>1024</v>
      </c>
      <c r="L20" s="1">
        <f t="shared" si="10"/>
        <v>0</v>
      </c>
      <c r="M20" s="1">
        <f t="shared" si="9"/>
        <v>0.05</v>
      </c>
      <c r="N20">
        <f t="shared" si="7"/>
        <v>15</v>
      </c>
      <c r="O20">
        <v>4</v>
      </c>
      <c r="P20">
        <f t="shared" si="6"/>
        <v>0</v>
      </c>
      <c r="Q20">
        <f t="shared" si="5"/>
        <v>0</v>
      </c>
      <c r="S20">
        <f t="shared" si="3"/>
        <v>4036</v>
      </c>
    </row>
    <row r="21" spans="1:19" x14ac:dyDescent="0.2">
      <c r="A21">
        <f t="shared" si="12"/>
        <v>1</v>
      </c>
      <c r="B21">
        <f t="shared" si="17"/>
        <v>4096</v>
      </c>
      <c r="C21">
        <v>7</v>
      </c>
      <c r="D21">
        <f t="shared" si="15"/>
        <v>585</v>
      </c>
      <c r="E21">
        <f t="shared" si="13"/>
        <v>4095</v>
      </c>
      <c r="F21">
        <f t="shared" si="16"/>
        <v>16384</v>
      </c>
      <c r="G21">
        <f t="shared" si="8"/>
        <v>64</v>
      </c>
      <c r="H21">
        <v>4</v>
      </c>
      <c r="I21">
        <v>1</v>
      </c>
      <c r="J21">
        <f t="shared" si="0"/>
        <v>4096</v>
      </c>
      <c r="K21">
        <f t="shared" si="11"/>
        <v>64</v>
      </c>
      <c r="L21" s="1">
        <f t="shared" si="10"/>
        <v>0</v>
      </c>
      <c r="M21" s="1">
        <f t="shared" si="9"/>
        <v>4.6875E-2</v>
      </c>
      <c r="N21">
        <f t="shared" si="7"/>
        <v>1</v>
      </c>
      <c r="O21">
        <v>64</v>
      </c>
      <c r="P21">
        <f t="shared" si="6"/>
        <v>0</v>
      </c>
      <c r="Q21">
        <f t="shared" si="5"/>
        <v>0</v>
      </c>
      <c r="S21">
        <f t="shared" si="3"/>
        <v>4032</v>
      </c>
    </row>
    <row r="22" spans="1:19" x14ac:dyDescent="0.2">
      <c r="A22">
        <f t="shared" si="12"/>
        <v>1</v>
      </c>
      <c r="B22">
        <f t="shared" si="17"/>
        <v>4096</v>
      </c>
      <c r="C22">
        <v>15</v>
      </c>
      <c r="D22">
        <f t="shared" si="15"/>
        <v>273</v>
      </c>
      <c r="E22">
        <f t="shared" si="13"/>
        <v>4095</v>
      </c>
      <c r="F22">
        <f t="shared" si="16"/>
        <v>16384</v>
      </c>
      <c r="G22">
        <f t="shared" si="8"/>
        <v>72</v>
      </c>
      <c r="H22">
        <v>8</v>
      </c>
      <c r="I22">
        <v>9</v>
      </c>
      <c r="J22">
        <f t="shared" si="0"/>
        <v>36864</v>
      </c>
      <c r="K22">
        <f t="shared" si="11"/>
        <v>512</v>
      </c>
      <c r="L22" s="1">
        <f t="shared" si="10"/>
        <v>0</v>
      </c>
      <c r="M22" s="1">
        <f t="shared" si="9"/>
        <v>9.7222222222222224E-2</v>
      </c>
      <c r="N22">
        <f t="shared" si="7"/>
        <v>9</v>
      </c>
      <c r="O22">
        <v>4</v>
      </c>
      <c r="P22">
        <f t="shared" si="6"/>
        <v>0</v>
      </c>
      <c r="Q22">
        <f t="shared" si="5"/>
        <v>0</v>
      </c>
      <c r="S22">
        <f t="shared" si="3"/>
        <v>4024</v>
      </c>
    </row>
    <row r="23" spans="1:19" x14ac:dyDescent="0.2">
      <c r="E23" t="s">
        <v>2</v>
      </c>
      <c r="F23">
        <f>SUM(F15:F22)</f>
        <v>131072</v>
      </c>
      <c r="G23">
        <f t="shared" si="8"/>
        <v>80</v>
      </c>
      <c r="H23">
        <f>H22</f>
        <v>8</v>
      </c>
      <c r="I23">
        <v>5</v>
      </c>
      <c r="J23">
        <f t="shared" si="0"/>
        <v>20480</v>
      </c>
      <c r="K23">
        <f t="shared" si="11"/>
        <v>256</v>
      </c>
      <c r="L23" s="1">
        <f t="shared" si="10"/>
        <v>0</v>
      </c>
      <c r="M23" s="1">
        <f t="shared" si="9"/>
        <v>8.7499999999999994E-2</v>
      </c>
      <c r="N23">
        <f t="shared" si="7"/>
        <v>5</v>
      </c>
      <c r="O23">
        <v>16</v>
      </c>
      <c r="P23">
        <f t="shared" si="6"/>
        <v>0</v>
      </c>
      <c r="Q23">
        <f t="shared" si="5"/>
        <v>0</v>
      </c>
      <c r="S23">
        <f t="shared" si="3"/>
        <v>4016</v>
      </c>
    </row>
    <row r="24" spans="1:19" x14ac:dyDescent="0.2">
      <c r="G24">
        <f t="shared" si="8"/>
        <v>88</v>
      </c>
      <c r="H24">
        <f t="shared" ref="H24:H87" si="18">H23</f>
        <v>8</v>
      </c>
      <c r="I24">
        <v>11</v>
      </c>
      <c r="J24">
        <f>4096*I24</f>
        <v>45056</v>
      </c>
      <c r="K24">
        <f t="shared" si="11"/>
        <v>512</v>
      </c>
      <c r="L24" s="1">
        <f t="shared" si="10"/>
        <v>0</v>
      </c>
      <c r="M24" s="1">
        <f t="shared" si="9"/>
        <v>7.9545454545454544E-2</v>
      </c>
      <c r="N24">
        <f t="shared" si="7"/>
        <v>11</v>
      </c>
      <c r="O24">
        <v>8</v>
      </c>
      <c r="P24">
        <f t="shared" si="6"/>
        <v>0</v>
      </c>
      <c r="Q24">
        <f t="shared" si="5"/>
        <v>0</v>
      </c>
      <c r="S24">
        <f t="shared" si="3"/>
        <v>4008</v>
      </c>
    </row>
    <row r="25" spans="1:19" x14ac:dyDescent="0.2">
      <c r="G25">
        <f t="shared" si="8"/>
        <v>96</v>
      </c>
      <c r="H25">
        <f t="shared" si="18"/>
        <v>8</v>
      </c>
      <c r="I25">
        <v>3</v>
      </c>
      <c r="J25">
        <f t="shared" ref="J25:J88" si="19">4096*I25</f>
        <v>12288</v>
      </c>
      <c r="K25">
        <f t="shared" si="11"/>
        <v>128</v>
      </c>
      <c r="L25" s="1">
        <f t="shared" si="10"/>
        <v>0</v>
      </c>
      <c r="M25" s="1">
        <f t="shared" si="9"/>
        <v>7.2916666666666671E-2</v>
      </c>
      <c r="N25">
        <f t="shared" si="7"/>
        <v>3</v>
      </c>
      <c r="O25">
        <v>32</v>
      </c>
      <c r="P25">
        <f t="shared" si="6"/>
        <v>0</v>
      </c>
      <c r="Q25">
        <f t="shared" si="5"/>
        <v>0</v>
      </c>
      <c r="S25">
        <f t="shared" si="3"/>
        <v>4000</v>
      </c>
    </row>
    <row r="26" spans="1:19" x14ac:dyDescent="0.2">
      <c r="G26">
        <f t="shared" si="8"/>
        <v>104</v>
      </c>
      <c r="H26">
        <f t="shared" si="18"/>
        <v>8</v>
      </c>
      <c r="I26">
        <v>13</v>
      </c>
      <c r="J26">
        <f t="shared" si="19"/>
        <v>53248</v>
      </c>
      <c r="K26">
        <f t="shared" si="11"/>
        <v>512</v>
      </c>
      <c r="L26" s="1">
        <f t="shared" si="10"/>
        <v>0</v>
      </c>
      <c r="M26" s="1">
        <f t="shared" si="9"/>
        <v>6.7307692307692304E-2</v>
      </c>
      <c r="N26">
        <f t="shared" si="7"/>
        <v>13</v>
      </c>
      <c r="O26">
        <v>8</v>
      </c>
      <c r="P26">
        <f t="shared" si="6"/>
        <v>0</v>
      </c>
      <c r="Q26">
        <f t="shared" si="5"/>
        <v>0</v>
      </c>
      <c r="S26">
        <f t="shared" si="3"/>
        <v>3992</v>
      </c>
    </row>
    <row r="27" spans="1:19" x14ac:dyDescent="0.2">
      <c r="G27">
        <f t="shared" si="8"/>
        <v>112</v>
      </c>
      <c r="H27">
        <f t="shared" si="18"/>
        <v>8</v>
      </c>
      <c r="I27">
        <v>7</v>
      </c>
      <c r="J27">
        <f t="shared" si="19"/>
        <v>28672</v>
      </c>
      <c r="K27">
        <f t="shared" si="11"/>
        <v>256</v>
      </c>
      <c r="L27" s="1">
        <f t="shared" si="10"/>
        <v>0</v>
      </c>
      <c r="M27" s="1">
        <f t="shared" si="9"/>
        <v>6.25E-2</v>
      </c>
      <c r="N27">
        <f t="shared" si="7"/>
        <v>7</v>
      </c>
      <c r="O27">
        <v>16</v>
      </c>
      <c r="P27">
        <f t="shared" si="6"/>
        <v>0</v>
      </c>
      <c r="Q27">
        <f t="shared" si="5"/>
        <v>0</v>
      </c>
      <c r="S27">
        <f t="shared" si="3"/>
        <v>3984</v>
      </c>
    </row>
    <row r="28" spans="1:19" x14ac:dyDescent="0.2">
      <c r="G28">
        <f t="shared" si="8"/>
        <v>120</v>
      </c>
      <c r="H28">
        <f t="shared" si="18"/>
        <v>8</v>
      </c>
      <c r="I28">
        <v>15</v>
      </c>
      <c r="J28">
        <f t="shared" si="19"/>
        <v>61440</v>
      </c>
      <c r="K28">
        <f t="shared" si="11"/>
        <v>512</v>
      </c>
      <c r="L28" s="1">
        <f t="shared" si="10"/>
        <v>0</v>
      </c>
      <c r="M28" s="1">
        <f t="shared" si="9"/>
        <v>5.8333333333333334E-2</v>
      </c>
      <c r="N28">
        <f t="shared" si="7"/>
        <v>15</v>
      </c>
      <c r="O28">
        <v>8</v>
      </c>
      <c r="P28">
        <f t="shared" si="6"/>
        <v>0</v>
      </c>
      <c r="Q28">
        <f t="shared" si="5"/>
        <v>0</v>
      </c>
      <c r="S28">
        <f t="shared" si="3"/>
        <v>3976</v>
      </c>
    </row>
    <row r="29" spans="1:19" x14ac:dyDescent="0.2">
      <c r="G29">
        <f t="shared" si="8"/>
        <v>128</v>
      </c>
      <c r="H29">
        <f t="shared" si="18"/>
        <v>8</v>
      </c>
      <c r="I29">
        <v>1</v>
      </c>
      <c r="J29">
        <f t="shared" si="19"/>
        <v>4096</v>
      </c>
      <c r="K29">
        <f t="shared" si="11"/>
        <v>32</v>
      </c>
      <c r="L29" s="1">
        <f t="shared" si="10"/>
        <v>0</v>
      </c>
      <c r="M29" s="1">
        <f t="shared" si="9"/>
        <v>5.46875E-2</v>
      </c>
      <c r="N29">
        <f t="shared" si="7"/>
        <v>1</v>
      </c>
      <c r="O29">
        <v>128</v>
      </c>
      <c r="P29">
        <f t="shared" si="6"/>
        <v>0</v>
      </c>
      <c r="Q29">
        <f t="shared" si="5"/>
        <v>0</v>
      </c>
      <c r="S29">
        <f t="shared" si="3"/>
        <v>3968</v>
      </c>
    </row>
    <row r="30" spans="1:19" x14ac:dyDescent="0.2">
      <c r="G30">
        <f t="shared" si="8"/>
        <v>144</v>
      </c>
      <c r="H30">
        <v>16</v>
      </c>
      <c r="I30">
        <v>9</v>
      </c>
      <c r="J30">
        <f t="shared" si="19"/>
        <v>36864</v>
      </c>
      <c r="K30">
        <f t="shared" si="11"/>
        <v>256</v>
      </c>
      <c r="L30" s="1">
        <f t="shared" si="10"/>
        <v>0</v>
      </c>
      <c r="M30" s="1">
        <f t="shared" si="9"/>
        <v>0.10416666666666667</v>
      </c>
      <c r="N30">
        <f t="shared" si="7"/>
        <v>9</v>
      </c>
      <c r="O30">
        <v>16</v>
      </c>
      <c r="P30">
        <f t="shared" si="6"/>
        <v>0</v>
      </c>
      <c r="Q30">
        <f t="shared" si="5"/>
        <v>0</v>
      </c>
      <c r="S30">
        <f t="shared" si="3"/>
        <v>3952</v>
      </c>
    </row>
    <row r="31" spans="1:19" x14ac:dyDescent="0.2">
      <c r="G31">
        <f t="shared" si="8"/>
        <v>160</v>
      </c>
      <c r="H31">
        <f t="shared" si="18"/>
        <v>16</v>
      </c>
      <c r="I31">
        <v>5</v>
      </c>
      <c r="J31">
        <f t="shared" si="19"/>
        <v>20480</v>
      </c>
      <c r="K31">
        <f t="shared" si="11"/>
        <v>128</v>
      </c>
      <c r="L31" s="1">
        <f t="shared" si="10"/>
        <v>0</v>
      </c>
      <c r="M31" s="1">
        <f t="shared" si="9"/>
        <v>9.375E-2</v>
      </c>
      <c r="N31">
        <f t="shared" si="7"/>
        <v>5</v>
      </c>
      <c r="O31">
        <v>32</v>
      </c>
      <c r="P31">
        <f t="shared" si="6"/>
        <v>0</v>
      </c>
      <c r="Q31">
        <f t="shared" si="5"/>
        <v>0</v>
      </c>
      <c r="S31">
        <f t="shared" si="3"/>
        <v>3936</v>
      </c>
    </row>
    <row r="32" spans="1:19" x14ac:dyDescent="0.2">
      <c r="G32">
        <f t="shared" si="8"/>
        <v>176</v>
      </c>
      <c r="H32">
        <f t="shared" si="18"/>
        <v>16</v>
      </c>
      <c r="I32">
        <v>11</v>
      </c>
      <c r="J32">
        <f t="shared" si="19"/>
        <v>45056</v>
      </c>
      <c r="K32">
        <f t="shared" si="11"/>
        <v>256</v>
      </c>
      <c r="L32" s="1">
        <f t="shared" si="10"/>
        <v>0</v>
      </c>
      <c r="M32" s="1">
        <f t="shared" si="9"/>
        <v>8.5227272727272721E-2</v>
      </c>
      <c r="N32">
        <f t="shared" si="7"/>
        <v>11</v>
      </c>
      <c r="O32">
        <v>16</v>
      </c>
      <c r="P32">
        <f t="shared" si="6"/>
        <v>0</v>
      </c>
      <c r="Q32">
        <f t="shared" si="5"/>
        <v>0</v>
      </c>
      <c r="S32">
        <f t="shared" si="3"/>
        <v>3920</v>
      </c>
    </row>
    <row r="33" spans="4:19" x14ac:dyDescent="0.2">
      <c r="G33">
        <f t="shared" si="8"/>
        <v>192</v>
      </c>
      <c r="H33">
        <f t="shared" si="18"/>
        <v>16</v>
      </c>
      <c r="I33">
        <v>3</v>
      </c>
      <c r="J33">
        <f t="shared" si="19"/>
        <v>12288</v>
      </c>
      <c r="K33">
        <f t="shared" si="11"/>
        <v>64</v>
      </c>
      <c r="L33" s="1">
        <f t="shared" si="10"/>
        <v>0</v>
      </c>
      <c r="M33" s="1">
        <f t="shared" si="9"/>
        <v>7.8125E-2</v>
      </c>
      <c r="N33">
        <f t="shared" si="7"/>
        <v>3</v>
      </c>
      <c r="O33">
        <v>64</v>
      </c>
      <c r="P33">
        <f t="shared" si="6"/>
        <v>0</v>
      </c>
      <c r="Q33">
        <f t="shared" si="5"/>
        <v>0</v>
      </c>
      <c r="S33">
        <f t="shared" si="3"/>
        <v>3904</v>
      </c>
    </row>
    <row r="34" spans="4:19" x14ac:dyDescent="0.2">
      <c r="G34">
        <f t="shared" si="8"/>
        <v>208</v>
      </c>
      <c r="H34">
        <f t="shared" si="18"/>
        <v>16</v>
      </c>
      <c r="I34">
        <v>13</v>
      </c>
      <c r="J34">
        <f t="shared" si="19"/>
        <v>53248</v>
      </c>
      <c r="K34">
        <f t="shared" si="11"/>
        <v>256</v>
      </c>
      <c r="L34" s="1">
        <f t="shared" si="10"/>
        <v>0</v>
      </c>
      <c r="M34" s="1">
        <f t="shared" si="9"/>
        <v>7.2115384615384609E-2</v>
      </c>
      <c r="N34">
        <f t="shared" si="7"/>
        <v>13</v>
      </c>
      <c r="O34">
        <v>16</v>
      </c>
      <c r="P34">
        <f t="shared" si="6"/>
        <v>0</v>
      </c>
      <c r="Q34">
        <f t="shared" si="5"/>
        <v>0</v>
      </c>
      <c r="S34">
        <f t="shared" si="3"/>
        <v>3888</v>
      </c>
    </row>
    <row r="35" spans="4:19" x14ac:dyDescent="0.2">
      <c r="G35">
        <f t="shared" si="8"/>
        <v>224</v>
      </c>
      <c r="H35">
        <f t="shared" si="18"/>
        <v>16</v>
      </c>
      <c r="I35">
        <v>7</v>
      </c>
      <c r="J35">
        <f t="shared" si="19"/>
        <v>28672</v>
      </c>
      <c r="K35">
        <f t="shared" si="11"/>
        <v>128</v>
      </c>
      <c r="L35" s="1">
        <f t="shared" si="10"/>
        <v>0</v>
      </c>
      <c r="M35" s="1">
        <f t="shared" si="9"/>
        <v>6.6964285714285712E-2</v>
      </c>
      <c r="N35">
        <f t="shared" si="7"/>
        <v>7</v>
      </c>
      <c r="O35">
        <v>32</v>
      </c>
      <c r="P35">
        <f t="shared" si="6"/>
        <v>0</v>
      </c>
      <c r="Q35">
        <f t="shared" si="5"/>
        <v>0</v>
      </c>
      <c r="S35">
        <f t="shared" si="3"/>
        <v>3872</v>
      </c>
    </row>
    <row r="36" spans="4:19" x14ac:dyDescent="0.2">
      <c r="G36">
        <f t="shared" si="8"/>
        <v>240</v>
      </c>
      <c r="H36">
        <f t="shared" si="18"/>
        <v>16</v>
      </c>
      <c r="I36">
        <v>15</v>
      </c>
      <c r="J36">
        <f t="shared" si="19"/>
        <v>61440</v>
      </c>
      <c r="K36">
        <f t="shared" si="11"/>
        <v>256</v>
      </c>
      <c r="L36" s="1">
        <f t="shared" si="10"/>
        <v>0</v>
      </c>
      <c r="M36" s="1">
        <f t="shared" si="9"/>
        <v>6.25E-2</v>
      </c>
      <c r="N36">
        <f t="shared" si="7"/>
        <v>15</v>
      </c>
      <c r="O36">
        <v>16</v>
      </c>
      <c r="P36">
        <f t="shared" si="6"/>
        <v>0</v>
      </c>
      <c r="Q36">
        <f t="shared" si="5"/>
        <v>0</v>
      </c>
      <c r="S36">
        <f t="shared" si="3"/>
        <v>3856</v>
      </c>
    </row>
    <row r="37" spans="4:19" x14ac:dyDescent="0.2">
      <c r="D37">
        <f>I37</f>
        <v>1</v>
      </c>
      <c r="E37" s="1">
        <f t="shared" ref="E37:E100" si="20">(F37 - FLOOR(F37,1))/F37</f>
        <v>0</v>
      </c>
      <c r="F37">
        <f>$E$15/I37</f>
        <v>4093</v>
      </c>
      <c r="G37">
        <f t="shared" si="8"/>
        <v>256</v>
      </c>
      <c r="H37">
        <f t="shared" si="18"/>
        <v>16</v>
      </c>
      <c r="I37">
        <v>1</v>
      </c>
      <c r="J37">
        <f t="shared" si="19"/>
        <v>4096</v>
      </c>
      <c r="K37">
        <f t="shared" si="11"/>
        <v>16</v>
      </c>
      <c r="L37" s="1">
        <f t="shared" si="10"/>
        <v>0</v>
      </c>
      <c r="M37" s="1">
        <f t="shared" si="9"/>
        <v>5.859375E-2</v>
      </c>
      <c r="N37">
        <f t="shared" si="7"/>
        <v>1</v>
      </c>
      <c r="O37">
        <v>256</v>
      </c>
      <c r="P37">
        <f t="shared" si="6"/>
        <v>0</v>
      </c>
      <c r="Q37">
        <f t="shared" si="5"/>
        <v>0</v>
      </c>
      <c r="S37">
        <f t="shared" si="3"/>
        <v>3840</v>
      </c>
    </row>
    <row r="38" spans="4:19" x14ac:dyDescent="0.2">
      <c r="D38">
        <f>I38/9</f>
        <v>1</v>
      </c>
      <c r="E38" s="1">
        <f t="shared" si="20"/>
        <v>0</v>
      </c>
      <c r="F38">
        <f>$E$16/I38</f>
        <v>455</v>
      </c>
      <c r="G38">
        <f t="shared" si="8"/>
        <v>288</v>
      </c>
      <c r="H38">
        <v>32</v>
      </c>
      <c r="I38">
        <v>9</v>
      </c>
      <c r="J38">
        <f t="shared" si="19"/>
        <v>36864</v>
      </c>
      <c r="K38">
        <f t="shared" si="11"/>
        <v>128</v>
      </c>
      <c r="L38" s="1">
        <f t="shared" si="10"/>
        <v>0</v>
      </c>
      <c r="M38" s="1">
        <f t="shared" si="9"/>
        <v>0.1076388888888889</v>
      </c>
      <c r="N38">
        <f t="shared" si="7"/>
        <v>9</v>
      </c>
      <c r="O38">
        <v>32</v>
      </c>
      <c r="P38">
        <f t="shared" si="6"/>
        <v>0</v>
      </c>
      <c r="Q38">
        <f t="shared" si="5"/>
        <v>0</v>
      </c>
      <c r="S38">
        <f t="shared" si="3"/>
        <v>3808</v>
      </c>
    </row>
    <row r="39" spans="4:19" x14ac:dyDescent="0.2">
      <c r="D39">
        <f>I39/5</f>
        <v>1</v>
      </c>
      <c r="E39" s="1">
        <f t="shared" si="20"/>
        <v>0</v>
      </c>
      <c r="F39">
        <f>$E$17/I39</f>
        <v>819</v>
      </c>
      <c r="G39">
        <f t="shared" si="8"/>
        <v>320</v>
      </c>
      <c r="H39">
        <f t="shared" si="18"/>
        <v>32</v>
      </c>
      <c r="I39">
        <v>5</v>
      </c>
      <c r="J39">
        <f t="shared" si="19"/>
        <v>20480</v>
      </c>
      <c r="K39">
        <f t="shared" si="11"/>
        <v>64</v>
      </c>
      <c r="L39" s="1">
        <f t="shared" si="10"/>
        <v>0</v>
      </c>
      <c r="M39" s="1">
        <f t="shared" si="9"/>
        <v>9.6875000000000003E-2</v>
      </c>
      <c r="N39">
        <f t="shared" si="7"/>
        <v>5</v>
      </c>
      <c r="O39">
        <v>64</v>
      </c>
      <c r="P39">
        <f t="shared" si="6"/>
        <v>0</v>
      </c>
      <c r="Q39">
        <f t="shared" si="5"/>
        <v>0</v>
      </c>
      <c r="S39">
        <f t="shared" si="3"/>
        <v>3776</v>
      </c>
    </row>
    <row r="40" spans="4:19" x14ac:dyDescent="0.2">
      <c r="D40">
        <f>I40/11</f>
        <v>1</v>
      </c>
      <c r="E40" s="1">
        <f t="shared" si="20"/>
        <v>0</v>
      </c>
      <c r="F40">
        <f>$E$18/I40</f>
        <v>372</v>
      </c>
      <c r="G40">
        <f t="shared" si="8"/>
        <v>352</v>
      </c>
      <c r="H40">
        <f t="shared" si="18"/>
        <v>32</v>
      </c>
      <c r="I40">
        <v>11</v>
      </c>
      <c r="J40">
        <f t="shared" si="19"/>
        <v>45056</v>
      </c>
      <c r="K40">
        <f t="shared" si="11"/>
        <v>128</v>
      </c>
      <c r="L40" s="1">
        <f t="shared" si="10"/>
        <v>0</v>
      </c>
      <c r="M40" s="1">
        <f t="shared" si="9"/>
        <v>8.8068181818181823E-2</v>
      </c>
      <c r="N40">
        <f t="shared" si="7"/>
        <v>11</v>
      </c>
      <c r="O40">
        <v>32</v>
      </c>
      <c r="P40">
        <f t="shared" si="6"/>
        <v>0</v>
      </c>
      <c r="Q40">
        <f t="shared" si="5"/>
        <v>0</v>
      </c>
      <c r="S40">
        <f t="shared" si="3"/>
        <v>3744</v>
      </c>
    </row>
    <row r="41" spans="4:19" x14ac:dyDescent="0.2">
      <c r="D41">
        <f>I41/3</f>
        <v>1</v>
      </c>
      <c r="E41" s="1">
        <f t="shared" si="20"/>
        <v>0</v>
      </c>
      <c r="F41">
        <f>$E$19/I41</f>
        <v>1365</v>
      </c>
      <c r="G41">
        <f t="shared" si="8"/>
        <v>384</v>
      </c>
      <c r="H41">
        <f t="shared" si="18"/>
        <v>32</v>
      </c>
      <c r="I41">
        <v>3</v>
      </c>
      <c r="J41">
        <f t="shared" si="19"/>
        <v>12288</v>
      </c>
      <c r="K41">
        <f t="shared" si="11"/>
        <v>32</v>
      </c>
      <c r="L41" s="1">
        <f t="shared" si="10"/>
        <v>0</v>
      </c>
      <c r="M41" s="1">
        <f t="shared" si="9"/>
        <v>8.0729166666666671E-2</v>
      </c>
      <c r="N41">
        <f t="shared" si="7"/>
        <v>3</v>
      </c>
      <c r="O41">
        <v>128</v>
      </c>
      <c r="P41">
        <f t="shared" si="6"/>
        <v>0</v>
      </c>
      <c r="Q41">
        <f t="shared" si="5"/>
        <v>0</v>
      </c>
      <c r="S41">
        <f t="shared" si="3"/>
        <v>3712</v>
      </c>
    </row>
    <row r="42" spans="4:19" x14ac:dyDescent="0.2">
      <c r="D42">
        <f>I42/13</f>
        <v>1</v>
      </c>
      <c r="E42" s="1">
        <f t="shared" si="20"/>
        <v>0</v>
      </c>
      <c r="F42">
        <f>$E$20/I42</f>
        <v>315</v>
      </c>
      <c r="G42">
        <f t="shared" si="8"/>
        <v>416</v>
      </c>
      <c r="H42">
        <f t="shared" si="18"/>
        <v>32</v>
      </c>
      <c r="I42">
        <v>13</v>
      </c>
      <c r="J42">
        <f t="shared" si="19"/>
        <v>53248</v>
      </c>
      <c r="K42">
        <f t="shared" si="11"/>
        <v>128</v>
      </c>
      <c r="L42" s="1">
        <f t="shared" si="10"/>
        <v>0</v>
      </c>
      <c r="M42" s="1">
        <f t="shared" si="9"/>
        <v>7.4519230769230768E-2</v>
      </c>
      <c r="N42">
        <f t="shared" si="7"/>
        <v>13</v>
      </c>
      <c r="O42">
        <v>32</v>
      </c>
      <c r="P42">
        <f t="shared" si="6"/>
        <v>0</v>
      </c>
      <c r="Q42">
        <f t="shared" si="5"/>
        <v>0</v>
      </c>
      <c r="S42">
        <f t="shared" si="3"/>
        <v>3680</v>
      </c>
    </row>
    <row r="43" spans="4:19" x14ac:dyDescent="0.2">
      <c r="D43">
        <f>I43/7</f>
        <v>1</v>
      </c>
      <c r="E43" s="1">
        <f t="shared" si="20"/>
        <v>0</v>
      </c>
      <c r="F43">
        <f>$E$21/I43</f>
        <v>585</v>
      </c>
      <c r="G43">
        <f t="shared" si="8"/>
        <v>448</v>
      </c>
      <c r="H43">
        <f t="shared" si="18"/>
        <v>32</v>
      </c>
      <c r="I43">
        <v>7</v>
      </c>
      <c r="J43">
        <f t="shared" si="19"/>
        <v>28672</v>
      </c>
      <c r="K43">
        <f t="shared" si="11"/>
        <v>64</v>
      </c>
      <c r="L43" s="1">
        <f t="shared" si="10"/>
        <v>0</v>
      </c>
      <c r="M43" s="1">
        <f t="shared" si="9"/>
        <v>6.9196428571428575E-2</v>
      </c>
      <c r="N43">
        <f t="shared" si="7"/>
        <v>7</v>
      </c>
      <c r="O43">
        <v>64</v>
      </c>
      <c r="P43">
        <f t="shared" si="6"/>
        <v>0</v>
      </c>
      <c r="Q43">
        <f t="shared" si="5"/>
        <v>0</v>
      </c>
      <c r="S43">
        <f t="shared" si="3"/>
        <v>3648</v>
      </c>
    </row>
    <row r="44" spans="4:19" x14ac:dyDescent="0.2">
      <c r="D44">
        <f>I44/15</f>
        <v>1</v>
      </c>
      <c r="E44" s="1">
        <f t="shared" si="20"/>
        <v>0</v>
      </c>
      <c r="F44">
        <f>$E$22/I44</f>
        <v>273</v>
      </c>
      <c r="G44">
        <f t="shared" si="8"/>
        <v>480</v>
      </c>
      <c r="H44">
        <f t="shared" si="18"/>
        <v>32</v>
      </c>
      <c r="I44">
        <v>15</v>
      </c>
      <c r="J44">
        <f t="shared" si="19"/>
        <v>61440</v>
      </c>
      <c r="K44">
        <f t="shared" si="11"/>
        <v>128</v>
      </c>
      <c r="L44" s="1">
        <f t="shared" si="10"/>
        <v>0</v>
      </c>
      <c r="M44" s="1">
        <f t="shared" si="9"/>
        <v>6.458333333333334E-2</v>
      </c>
      <c r="N44">
        <f t="shared" si="7"/>
        <v>15</v>
      </c>
      <c r="O44">
        <v>32</v>
      </c>
      <c r="P44">
        <f t="shared" si="6"/>
        <v>0</v>
      </c>
      <c r="Q44">
        <f t="shared" si="5"/>
        <v>0</v>
      </c>
      <c r="S44">
        <f t="shared" si="3"/>
        <v>3616</v>
      </c>
    </row>
    <row r="45" spans="4:19" x14ac:dyDescent="0.2">
      <c r="D45">
        <f t="shared" ref="D45" si="21">I45</f>
        <v>1</v>
      </c>
      <c r="E45" s="1">
        <f t="shared" si="20"/>
        <v>0</v>
      </c>
      <c r="F45">
        <f>$E$15/I45</f>
        <v>4093</v>
      </c>
      <c r="G45">
        <f t="shared" si="8"/>
        <v>512</v>
      </c>
      <c r="H45">
        <f t="shared" si="18"/>
        <v>32</v>
      </c>
      <c r="I45">
        <v>1</v>
      </c>
      <c r="J45">
        <f t="shared" si="19"/>
        <v>4096</v>
      </c>
      <c r="K45">
        <f t="shared" si="11"/>
        <v>8</v>
      </c>
      <c r="L45" s="1">
        <f t="shared" si="10"/>
        <v>0</v>
      </c>
      <c r="M45" s="1">
        <f t="shared" si="9"/>
        <v>6.0546875E-2</v>
      </c>
      <c r="N45">
        <f t="shared" si="7"/>
        <v>1</v>
      </c>
      <c r="O45">
        <v>512</v>
      </c>
      <c r="P45">
        <f t="shared" si="6"/>
        <v>0</v>
      </c>
      <c r="Q45">
        <f t="shared" si="5"/>
        <v>0</v>
      </c>
      <c r="S45">
        <f t="shared" si="3"/>
        <v>3584</v>
      </c>
    </row>
    <row r="46" spans="4:19" x14ac:dyDescent="0.2">
      <c r="D46">
        <f t="shared" ref="D46" si="22">I46/9</f>
        <v>1</v>
      </c>
      <c r="E46" s="1">
        <f t="shared" si="20"/>
        <v>0</v>
      </c>
      <c r="F46">
        <f>$E$16/I46</f>
        <v>455</v>
      </c>
      <c r="G46">
        <f t="shared" si="8"/>
        <v>576</v>
      </c>
      <c r="H46">
        <v>64</v>
      </c>
      <c r="I46">
        <v>9</v>
      </c>
      <c r="J46">
        <f t="shared" si="19"/>
        <v>36864</v>
      </c>
      <c r="K46">
        <f t="shared" si="11"/>
        <v>64</v>
      </c>
      <c r="L46" s="1">
        <f t="shared" si="10"/>
        <v>0</v>
      </c>
      <c r="M46" s="1">
        <f t="shared" si="9"/>
        <v>0.109375</v>
      </c>
      <c r="N46">
        <f t="shared" si="7"/>
        <v>9</v>
      </c>
      <c r="O46">
        <v>64</v>
      </c>
      <c r="P46">
        <f t="shared" si="6"/>
        <v>0</v>
      </c>
      <c r="Q46">
        <f t="shared" si="5"/>
        <v>0</v>
      </c>
      <c r="S46">
        <f t="shared" si="3"/>
        <v>3520</v>
      </c>
    </row>
    <row r="47" spans="4:19" x14ac:dyDescent="0.2">
      <c r="D47">
        <f t="shared" ref="D47" si="23">I47/5</f>
        <v>1</v>
      </c>
      <c r="E47" s="1">
        <f t="shared" si="20"/>
        <v>0</v>
      </c>
      <c r="F47">
        <f>$E$17/I47</f>
        <v>819</v>
      </c>
      <c r="G47">
        <f t="shared" si="8"/>
        <v>640</v>
      </c>
      <c r="H47">
        <f t="shared" si="18"/>
        <v>64</v>
      </c>
      <c r="I47">
        <v>5</v>
      </c>
      <c r="J47">
        <f t="shared" si="19"/>
        <v>20480</v>
      </c>
      <c r="K47">
        <f t="shared" si="11"/>
        <v>32</v>
      </c>
      <c r="L47" s="1">
        <f t="shared" si="10"/>
        <v>0</v>
      </c>
      <c r="M47" s="1">
        <f t="shared" si="9"/>
        <v>9.8437499999999997E-2</v>
      </c>
      <c r="N47">
        <f t="shared" si="7"/>
        <v>5</v>
      </c>
      <c r="O47">
        <v>128</v>
      </c>
      <c r="P47">
        <f t="shared" si="6"/>
        <v>0</v>
      </c>
      <c r="Q47">
        <f t="shared" si="5"/>
        <v>0</v>
      </c>
      <c r="S47">
        <f t="shared" si="3"/>
        <v>3456</v>
      </c>
    </row>
    <row r="48" spans="4:19" x14ac:dyDescent="0.2">
      <c r="D48">
        <f t="shared" ref="D48" si="24">I48/11</f>
        <v>1</v>
      </c>
      <c r="E48" s="1">
        <f t="shared" si="20"/>
        <v>0</v>
      </c>
      <c r="F48">
        <f>$E$18/I48</f>
        <v>372</v>
      </c>
      <c r="G48">
        <f t="shared" si="8"/>
        <v>704</v>
      </c>
      <c r="H48">
        <f t="shared" si="18"/>
        <v>64</v>
      </c>
      <c r="I48">
        <v>11</v>
      </c>
      <c r="J48">
        <f t="shared" si="19"/>
        <v>45056</v>
      </c>
      <c r="K48">
        <f t="shared" si="11"/>
        <v>64</v>
      </c>
      <c r="L48" s="1">
        <f t="shared" si="10"/>
        <v>0</v>
      </c>
      <c r="M48" s="1">
        <f t="shared" si="9"/>
        <v>8.9488636363636367E-2</v>
      </c>
      <c r="N48">
        <f t="shared" si="7"/>
        <v>11</v>
      </c>
      <c r="O48">
        <v>64</v>
      </c>
      <c r="P48">
        <f t="shared" si="6"/>
        <v>0</v>
      </c>
      <c r="Q48">
        <f t="shared" si="5"/>
        <v>0</v>
      </c>
      <c r="S48">
        <f t="shared" si="3"/>
        <v>3392</v>
      </c>
    </row>
    <row r="49" spans="4:19" x14ac:dyDescent="0.2">
      <c r="D49">
        <f t="shared" ref="D49" si="25">I49/3</f>
        <v>1</v>
      </c>
      <c r="E49" s="1">
        <f t="shared" si="20"/>
        <v>0</v>
      </c>
      <c r="F49">
        <f>$E$19/I49</f>
        <v>1365</v>
      </c>
      <c r="G49">
        <f t="shared" si="8"/>
        <v>768</v>
      </c>
      <c r="H49">
        <f t="shared" si="18"/>
        <v>64</v>
      </c>
      <c r="I49">
        <v>3</v>
      </c>
      <c r="J49">
        <f t="shared" si="19"/>
        <v>12288</v>
      </c>
      <c r="K49">
        <f t="shared" si="11"/>
        <v>16</v>
      </c>
      <c r="L49" s="1">
        <f t="shared" si="10"/>
        <v>0</v>
      </c>
      <c r="M49" s="1">
        <f t="shared" si="9"/>
        <v>8.203125E-2</v>
      </c>
      <c r="N49">
        <f t="shared" si="7"/>
        <v>3</v>
      </c>
      <c r="O49">
        <v>256</v>
      </c>
      <c r="P49">
        <f t="shared" si="6"/>
        <v>0</v>
      </c>
      <c r="Q49">
        <f t="shared" si="5"/>
        <v>0</v>
      </c>
      <c r="S49">
        <f t="shared" si="3"/>
        <v>3328</v>
      </c>
    </row>
    <row r="50" spans="4:19" x14ac:dyDescent="0.2">
      <c r="D50">
        <f t="shared" ref="D50" si="26">I50/13</f>
        <v>1</v>
      </c>
      <c r="E50" s="1">
        <f t="shared" si="20"/>
        <v>0</v>
      </c>
      <c r="F50">
        <f>$E$20/I50</f>
        <v>315</v>
      </c>
      <c r="G50">
        <f t="shared" si="8"/>
        <v>832</v>
      </c>
      <c r="H50">
        <f t="shared" si="18"/>
        <v>64</v>
      </c>
      <c r="I50">
        <v>13</v>
      </c>
      <c r="J50">
        <f t="shared" si="19"/>
        <v>53248</v>
      </c>
      <c r="K50">
        <f t="shared" si="11"/>
        <v>64</v>
      </c>
      <c r="L50" s="1">
        <f t="shared" si="10"/>
        <v>0</v>
      </c>
      <c r="M50" s="1">
        <f t="shared" si="9"/>
        <v>7.5721153846153841E-2</v>
      </c>
      <c r="N50">
        <f t="shared" si="7"/>
        <v>13</v>
      </c>
      <c r="O50">
        <v>64</v>
      </c>
      <c r="P50">
        <f t="shared" si="6"/>
        <v>0</v>
      </c>
      <c r="Q50">
        <f t="shared" si="5"/>
        <v>0</v>
      </c>
      <c r="S50">
        <f t="shared" si="3"/>
        <v>3264</v>
      </c>
    </row>
    <row r="51" spans="4:19" x14ac:dyDescent="0.2">
      <c r="D51">
        <f t="shared" ref="D51" si="27">I51/7</f>
        <v>1</v>
      </c>
      <c r="E51" s="1">
        <f t="shared" si="20"/>
        <v>0</v>
      </c>
      <c r="F51">
        <f>$E$21/I51</f>
        <v>585</v>
      </c>
      <c r="G51">
        <f t="shared" si="8"/>
        <v>896</v>
      </c>
      <c r="H51">
        <f t="shared" si="18"/>
        <v>64</v>
      </c>
      <c r="I51">
        <v>7</v>
      </c>
      <c r="J51">
        <f t="shared" si="19"/>
        <v>28672</v>
      </c>
      <c r="K51">
        <f t="shared" si="11"/>
        <v>32</v>
      </c>
      <c r="L51" s="1">
        <f t="shared" si="10"/>
        <v>0</v>
      </c>
      <c r="M51" s="1">
        <f t="shared" si="9"/>
        <v>7.03125E-2</v>
      </c>
      <c r="N51">
        <f t="shared" si="7"/>
        <v>7</v>
      </c>
      <c r="O51">
        <v>128</v>
      </c>
      <c r="P51">
        <f t="shared" si="6"/>
        <v>0</v>
      </c>
      <c r="Q51">
        <f t="shared" si="5"/>
        <v>0</v>
      </c>
      <c r="S51">
        <f t="shared" si="3"/>
        <v>3200</v>
      </c>
    </row>
    <row r="52" spans="4:19" x14ac:dyDescent="0.2">
      <c r="D52">
        <f t="shared" ref="D52" si="28">I52/15</f>
        <v>1</v>
      </c>
      <c r="E52" s="1">
        <f t="shared" si="20"/>
        <v>0</v>
      </c>
      <c r="F52">
        <f>$E$22/I52</f>
        <v>273</v>
      </c>
      <c r="G52">
        <f t="shared" si="8"/>
        <v>960</v>
      </c>
      <c r="H52">
        <f t="shared" si="18"/>
        <v>64</v>
      </c>
      <c r="I52">
        <v>15</v>
      </c>
      <c r="J52">
        <f t="shared" si="19"/>
        <v>61440</v>
      </c>
      <c r="K52">
        <f t="shared" si="11"/>
        <v>64</v>
      </c>
      <c r="L52" s="1">
        <f t="shared" si="10"/>
        <v>0</v>
      </c>
      <c r="M52" s="1">
        <f t="shared" si="9"/>
        <v>6.5625000000000003E-2</v>
      </c>
      <c r="N52">
        <f t="shared" si="7"/>
        <v>15</v>
      </c>
      <c r="O52">
        <v>64</v>
      </c>
      <c r="P52">
        <f t="shared" si="6"/>
        <v>0</v>
      </c>
      <c r="Q52">
        <f t="shared" si="5"/>
        <v>0</v>
      </c>
      <c r="S52">
        <f t="shared" si="3"/>
        <v>3136</v>
      </c>
    </row>
    <row r="53" spans="4:19" x14ac:dyDescent="0.2">
      <c r="D53">
        <f t="shared" ref="D53" si="29">I53</f>
        <v>1</v>
      </c>
      <c r="E53" s="1">
        <f t="shared" si="20"/>
        <v>0</v>
      </c>
      <c r="F53">
        <f t="shared" ref="F53" si="30">$E$15/I53</f>
        <v>4093</v>
      </c>
      <c r="G53">
        <f t="shared" si="8"/>
        <v>1024</v>
      </c>
      <c r="H53">
        <f t="shared" si="18"/>
        <v>64</v>
      </c>
      <c r="I53">
        <v>1</v>
      </c>
      <c r="J53">
        <f t="shared" si="19"/>
        <v>4096</v>
      </c>
      <c r="K53">
        <f t="shared" si="11"/>
        <v>4</v>
      </c>
      <c r="L53" s="1">
        <f t="shared" si="10"/>
        <v>0</v>
      </c>
      <c r="M53" s="1">
        <f t="shared" si="9"/>
        <v>6.15234375E-2</v>
      </c>
      <c r="N53">
        <f t="shared" si="7"/>
        <v>1</v>
      </c>
      <c r="O53">
        <v>1024</v>
      </c>
      <c r="P53">
        <f t="shared" si="6"/>
        <v>0</v>
      </c>
      <c r="Q53">
        <f t="shared" si="5"/>
        <v>0</v>
      </c>
      <c r="S53">
        <f t="shared" si="3"/>
        <v>3072</v>
      </c>
    </row>
    <row r="54" spans="4:19" x14ac:dyDescent="0.2">
      <c r="D54">
        <f t="shared" ref="D54" si="31">I54/9</f>
        <v>1</v>
      </c>
      <c r="E54" s="1">
        <f t="shared" si="20"/>
        <v>0</v>
      </c>
      <c r="F54">
        <f>$E$16/I54</f>
        <v>455</v>
      </c>
      <c r="G54">
        <f t="shared" si="8"/>
        <v>1152</v>
      </c>
      <c r="H54">
        <v>128</v>
      </c>
      <c r="I54">
        <v>9</v>
      </c>
      <c r="J54">
        <f t="shared" si="19"/>
        <v>36864</v>
      </c>
      <c r="K54">
        <f t="shared" si="11"/>
        <v>32</v>
      </c>
      <c r="L54" s="1">
        <f t="shared" si="10"/>
        <v>0</v>
      </c>
      <c r="M54" s="1">
        <f t="shared" si="9"/>
        <v>0.11024305555555555</v>
      </c>
      <c r="N54">
        <f t="shared" si="7"/>
        <v>9</v>
      </c>
      <c r="O54">
        <v>128</v>
      </c>
      <c r="P54">
        <f t="shared" si="6"/>
        <v>0</v>
      </c>
      <c r="Q54">
        <f t="shared" si="5"/>
        <v>0</v>
      </c>
      <c r="S54">
        <f t="shared" si="3"/>
        <v>2944</v>
      </c>
    </row>
    <row r="55" spans="4:19" x14ac:dyDescent="0.2">
      <c r="D55">
        <f t="shared" ref="D55" si="32">I55/5</f>
        <v>1</v>
      </c>
      <c r="E55" s="1">
        <f t="shared" si="20"/>
        <v>0</v>
      </c>
      <c r="F55">
        <f>$E$17/I55</f>
        <v>819</v>
      </c>
      <c r="G55">
        <f t="shared" si="8"/>
        <v>1280</v>
      </c>
      <c r="H55">
        <f t="shared" si="18"/>
        <v>128</v>
      </c>
      <c r="I55">
        <v>5</v>
      </c>
      <c r="J55">
        <f t="shared" si="19"/>
        <v>20480</v>
      </c>
      <c r="K55">
        <f t="shared" si="11"/>
        <v>16</v>
      </c>
      <c r="L55" s="1">
        <f t="shared" si="10"/>
        <v>0</v>
      </c>
      <c r="M55" s="1">
        <f t="shared" si="9"/>
        <v>9.9218749999999994E-2</v>
      </c>
      <c r="N55">
        <f t="shared" si="7"/>
        <v>5</v>
      </c>
      <c r="O55">
        <v>256</v>
      </c>
      <c r="P55">
        <f t="shared" si="6"/>
        <v>0</v>
      </c>
      <c r="Q55">
        <f t="shared" si="5"/>
        <v>0</v>
      </c>
      <c r="S55">
        <f t="shared" si="3"/>
        <v>2816</v>
      </c>
    </row>
    <row r="56" spans="4:19" x14ac:dyDescent="0.2">
      <c r="D56">
        <f t="shared" ref="D56" si="33">I56/11</f>
        <v>1</v>
      </c>
      <c r="E56" s="1">
        <f t="shared" si="20"/>
        <v>0</v>
      </c>
      <c r="F56">
        <f>$E$18/I56</f>
        <v>372</v>
      </c>
      <c r="G56">
        <f t="shared" si="8"/>
        <v>1408</v>
      </c>
      <c r="H56">
        <f t="shared" si="18"/>
        <v>128</v>
      </c>
      <c r="I56">
        <v>11</v>
      </c>
      <c r="J56">
        <f t="shared" si="19"/>
        <v>45056</v>
      </c>
      <c r="K56">
        <f t="shared" si="11"/>
        <v>32</v>
      </c>
      <c r="L56" s="1">
        <f t="shared" si="10"/>
        <v>0</v>
      </c>
      <c r="M56" s="1">
        <f t="shared" si="9"/>
        <v>9.0198863636363633E-2</v>
      </c>
      <c r="N56">
        <f t="shared" si="7"/>
        <v>11</v>
      </c>
      <c r="O56">
        <v>128</v>
      </c>
      <c r="P56">
        <f t="shared" si="6"/>
        <v>0</v>
      </c>
      <c r="Q56">
        <f t="shared" si="5"/>
        <v>0</v>
      </c>
      <c r="S56">
        <f t="shared" si="3"/>
        <v>2688</v>
      </c>
    </row>
    <row r="57" spans="4:19" x14ac:dyDescent="0.2">
      <c r="D57">
        <f t="shared" ref="D57" si="34">I57/3</f>
        <v>1</v>
      </c>
      <c r="E57" s="1">
        <f t="shared" si="20"/>
        <v>0</v>
      </c>
      <c r="F57">
        <f>$E$19/I57</f>
        <v>1365</v>
      </c>
      <c r="G57">
        <f t="shared" si="8"/>
        <v>1536</v>
      </c>
      <c r="H57">
        <f t="shared" si="18"/>
        <v>128</v>
      </c>
      <c r="I57">
        <v>3</v>
      </c>
      <c r="J57">
        <f t="shared" si="19"/>
        <v>12288</v>
      </c>
      <c r="K57">
        <f t="shared" si="11"/>
        <v>8</v>
      </c>
      <c r="L57" s="1">
        <f t="shared" si="10"/>
        <v>0</v>
      </c>
      <c r="M57" s="1">
        <f t="shared" si="9"/>
        <v>8.2682291666666671E-2</v>
      </c>
      <c r="N57">
        <f t="shared" si="7"/>
        <v>3</v>
      </c>
      <c r="O57">
        <v>512</v>
      </c>
      <c r="P57">
        <f t="shared" si="6"/>
        <v>0</v>
      </c>
      <c r="Q57">
        <f t="shared" si="5"/>
        <v>0</v>
      </c>
      <c r="S57">
        <f t="shared" si="3"/>
        <v>2560</v>
      </c>
    </row>
    <row r="58" spans="4:19" x14ac:dyDescent="0.2">
      <c r="D58">
        <f t="shared" ref="D58" si="35">I58/13</f>
        <v>1</v>
      </c>
      <c r="E58" s="1">
        <f t="shared" si="20"/>
        <v>0</v>
      </c>
      <c r="F58">
        <f>$E$20/I58</f>
        <v>315</v>
      </c>
      <c r="G58">
        <f t="shared" si="8"/>
        <v>1664</v>
      </c>
      <c r="H58">
        <f t="shared" si="18"/>
        <v>128</v>
      </c>
      <c r="I58">
        <v>13</v>
      </c>
      <c r="J58">
        <f t="shared" si="19"/>
        <v>53248</v>
      </c>
      <c r="K58">
        <f t="shared" si="11"/>
        <v>32</v>
      </c>
      <c r="L58" s="1">
        <f t="shared" si="10"/>
        <v>0</v>
      </c>
      <c r="M58" s="1">
        <f t="shared" si="9"/>
        <v>7.6322115384615391E-2</v>
      </c>
      <c r="N58">
        <f t="shared" si="7"/>
        <v>13</v>
      </c>
      <c r="O58">
        <v>128</v>
      </c>
      <c r="P58">
        <f t="shared" si="6"/>
        <v>0</v>
      </c>
      <c r="Q58">
        <f t="shared" si="5"/>
        <v>0</v>
      </c>
      <c r="S58">
        <f t="shared" si="3"/>
        <v>2432</v>
      </c>
    </row>
    <row r="59" spans="4:19" x14ac:dyDescent="0.2">
      <c r="D59">
        <f t="shared" ref="D59" si="36">I59/7</f>
        <v>1</v>
      </c>
      <c r="E59" s="1">
        <f t="shared" si="20"/>
        <v>0</v>
      </c>
      <c r="F59">
        <f>$E$21/I59</f>
        <v>585</v>
      </c>
      <c r="G59">
        <f t="shared" si="8"/>
        <v>1792</v>
      </c>
      <c r="H59">
        <f t="shared" si="18"/>
        <v>128</v>
      </c>
      <c r="I59">
        <v>7</v>
      </c>
      <c r="J59">
        <f t="shared" si="19"/>
        <v>28672</v>
      </c>
      <c r="K59">
        <f t="shared" si="11"/>
        <v>16</v>
      </c>
      <c r="L59" s="1">
        <f t="shared" si="10"/>
        <v>0</v>
      </c>
      <c r="M59" s="1">
        <f t="shared" si="9"/>
        <v>7.0870535714285712E-2</v>
      </c>
      <c r="N59">
        <f t="shared" si="7"/>
        <v>7</v>
      </c>
      <c r="O59">
        <v>256</v>
      </c>
      <c r="P59">
        <f t="shared" si="6"/>
        <v>0</v>
      </c>
      <c r="Q59">
        <f t="shared" si="5"/>
        <v>0</v>
      </c>
      <c r="S59">
        <f t="shared" si="3"/>
        <v>2304</v>
      </c>
    </row>
    <row r="60" spans="4:19" x14ac:dyDescent="0.2">
      <c r="D60">
        <f t="shared" ref="D60" si="37">I60/15</f>
        <v>1</v>
      </c>
      <c r="E60" s="1">
        <f t="shared" si="20"/>
        <v>0</v>
      </c>
      <c r="F60">
        <f>$E$22/I60</f>
        <v>273</v>
      </c>
      <c r="G60">
        <f t="shared" si="8"/>
        <v>1920</v>
      </c>
      <c r="H60">
        <f t="shared" si="18"/>
        <v>128</v>
      </c>
      <c r="I60">
        <v>15</v>
      </c>
      <c r="J60">
        <f t="shared" si="19"/>
        <v>61440</v>
      </c>
      <c r="K60">
        <f t="shared" si="11"/>
        <v>32</v>
      </c>
      <c r="L60" s="1">
        <f t="shared" si="10"/>
        <v>0</v>
      </c>
      <c r="M60" s="1">
        <f t="shared" si="9"/>
        <v>6.6145833333333334E-2</v>
      </c>
      <c r="N60">
        <f t="shared" si="7"/>
        <v>15</v>
      </c>
      <c r="O60">
        <v>128</v>
      </c>
      <c r="P60">
        <f t="shared" si="6"/>
        <v>0</v>
      </c>
      <c r="Q60">
        <f t="shared" si="5"/>
        <v>0</v>
      </c>
      <c r="S60">
        <f t="shared" si="3"/>
        <v>2176</v>
      </c>
    </row>
    <row r="61" spans="4:19" x14ac:dyDescent="0.2">
      <c r="D61">
        <f t="shared" ref="D61" si="38">I61</f>
        <v>1</v>
      </c>
      <c r="E61" s="1">
        <f t="shared" si="20"/>
        <v>0</v>
      </c>
      <c r="F61">
        <f t="shared" ref="F61" si="39">$E$15/I61</f>
        <v>4093</v>
      </c>
      <c r="G61">
        <f t="shared" si="8"/>
        <v>2048</v>
      </c>
      <c r="H61">
        <f t="shared" si="18"/>
        <v>128</v>
      </c>
      <c r="I61">
        <v>1</v>
      </c>
      <c r="J61">
        <f t="shared" si="19"/>
        <v>4096</v>
      </c>
      <c r="K61">
        <f t="shared" si="11"/>
        <v>2</v>
      </c>
      <c r="L61" s="1">
        <f t="shared" si="10"/>
        <v>0</v>
      </c>
      <c r="M61" s="1">
        <f t="shared" si="9"/>
        <v>6.201171875E-2</v>
      </c>
      <c r="N61">
        <f t="shared" si="7"/>
        <v>1</v>
      </c>
      <c r="O61">
        <v>2048</v>
      </c>
      <c r="P61">
        <f t="shared" si="6"/>
        <v>0</v>
      </c>
      <c r="Q61">
        <f t="shared" si="5"/>
        <v>0</v>
      </c>
      <c r="S61">
        <f t="shared" si="3"/>
        <v>2048</v>
      </c>
    </row>
    <row r="62" spans="4:19" x14ac:dyDescent="0.2">
      <c r="D62">
        <f t="shared" ref="D62" si="40">I62/9</f>
        <v>1</v>
      </c>
      <c r="E62" s="1">
        <f t="shared" si="20"/>
        <v>0</v>
      </c>
      <c r="F62">
        <f>$E$16/I62</f>
        <v>455</v>
      </c>
      <c r="G62">
        <f t="shared" si="8"/>
        <v>2304</v>
      </c>
      <c r="H62">
        <v>256</v>
      </c>
      <c r="I62">
        <v>9</v>
      </c>
      <c r="J62">
        <f t="shared" si="19"/>
        <v>36864</v>
      </c>
      <c r="K62">
        <f t="shared" si="11"/>
        <v>16</v>
      </c>
      <c r="L62" s="1">
        <f t="shared" si="10"/>
        <v>0</v>
      </c>
      <c r="M62" s="1">
        <f t="shared" si="9"/>
        <v>0.11067708333333333</v>
      </c>
      <c r="N62">
        <f t="shared" si="7"/>
        <v>9</v>
      </c>
      <c r="O62">
        <v>256</v>
      </c>
      <c r="P62">
        <f t="shared" si="6"/>
        <v>0</v>
      </c>
      <c r="Q62">
        <f t="shared" si="5"/>
        <v>0</v>
      </c>
      <c r="S62">
        <f t="shared" si="3"/>
        <v>1792</v>
      </c>
    </row>
    <row r="63" spans="4:19" x14ac:dyDescent="0.2">
      <c r="D63">
        <f t="shared" ref="D63" si="41">I63/5</f>
        <v>1</v>
      </c>
      <c r="E63" s="1">
        <f t="shared" si="20"/>
        <v>0</v>
      </c>
      <c r="F63">
        <f>$E$17/I63</f>
        <v>819</v>
      </c>
      <c r="G63">
        <f t="shared" si="8"/>
        <v>2560</v>
      </c>
      <c r="H63">
        <f t="shared" si="18"/>
        <v>256</v>
      </c>
      <c r="I63">
        <v>5</v>
      </c>
      <c r="J63">
        <f t="shared" si="19"/>
        <v>20480</v>
      </c>
      <c r="K63">
        <f t="shared" si="11"/>
        <v>8</v>
      </c>
      <c r="L63" s="1">
        <f t="shared" si="10"/>
        <v>0</v>
      </c>
      <c r="M63" s="1">
        <f t="shared" si="9"/>
        <v>9.9609375E-2</v>
      </c>
      <c r="N63">
        <f t="shared" si="7"/>
        <v>5</v>
      </c>
      <c r="O63">
        <v>512</v>
      </c>
      <c r="P63">
        <f t="shared" si="6"/>
        <v>0</v>
      </c>
      <c r="Q63">
        <f t="shared" si="5"/>
        <v>0</v>
      </c>
      <c r="S63">
        <f t="shared" si="3"/>
        <v>1536</v>
      </c>
    </row>
    <row r="64" spans="4:19" x14ac:dyDescent="0.2">
      <c r="D64">
        <f t="shared" ref="D64" si="42">I64/11</f>
        <v>1</v>
      </c>
      <c r="E64" s="1">
        <f t="shared" si="20"/>
        <v>0</v>
      </c>
      <c r="F64">
        <f>$E$18/I64</f>
        <v>372</v>
      </c>
      <c r="G64">
        <f t="shared" si="8"/>
        <v>2816</v>
      </c>
      <c r="H64">
        <f t="shared" si="18"/>
        <v>256</v>
      </c>
      <c r="I64">
        <v>11</v>
      </c>
      <c r="J64">
        <f t="shared" si="19"/>
        <v>45056</v>
      </c>
      <c r="K64">
        <f t="shared" si="11"/>
        <v>16</v>
      </c>
      <c r="L64" s="1">
        <f t="shared" si="10"/>
        <v>0</v>
      </c>
      <c r="M64" s="1">
        <f t="shared" si="9"/>
        <v>9.0553977272727279E-2</v>
      </c>
      <c r="N64">
        <f t="shared" si="7"/>
        <v>11</v>
      </c>
      <c r="O64">
        <v>256</v>
      </c>
      <c r="P64">
        <f t="shared" si="6"/>
        <v>0</v>
      </c>
      <c r="Q64">
        <f t="shared" si="5"/>
        <v>0</v>
      </c>
      <c r="S64">
        <f t="shared" si="3"/>
        <v>1280</v>
      </c>
    </row>
    <row r="65" spans="4:19" x14ac:dyDescent="0.2">
      <c r="D65">
        <f t="shared" ref="D65" si="43">I65/3</f>
        <v>1</v>
      </c>
      <c r="E65" s="1">
        <f t="shared" si="20"/>
        <v>0</v>
      </c>
      <c r="F65">
        <f>$E$19/I65</f>
        <v>1365</v>
      </c>
      <c r="G65">
        <f t="shared" si="8"/>
        <v>3072</v>
      </c>
      <c r="H65">
        <f t="shared" si="18"/>
        <v>256</v>
      </c>
      <c r="I65">
        <v>3</v>
      </c>
      <c r="J65">
        <f t="shared" si="19"/>
        <v>12288</v>
      </c>
      <c r="K65">
        <f t="shared" si="11"/>
        <v>4</v>
      </c>
      <c r="L65" s="1">
        <f t="shared" si="10"/>
        <v>0</v>
      </c>
      <c r="M65" s="1">
        <f t="shared" si="9"/>
        <v>8.30078125E-2</v>
      </c>
      <c r="N65">
        <f t="shared" si="7"/>
        <v>3</v>
      </c>
      <c r="O65">
        <v>1024</v>
      </c>
      <c r="P65">
        <f t="shared" si="6"/>
        <v>0</v>
      </c>
      <c r="Q65">
        <f t="shared" si="5"/>
        <v>0</v>
      </c>
      <c r="S65">
        <f t="shared" si="3"/>
        <v>1024</v>
      </c>
    </row>
    <row r="66" spans="4:19" x14ac:dyDescent="0.2">
      <c r="D66">
        <f t="shared" ref="D66" si="44">I66/13</f>
        <v>1</v>
      </c>
      <c r="E66" s="1">
        <f t="shared" si="20"/>
        <v>0</v>
      </c>
      <c r="F66">
        <f>$E$20/I66</f>
        <v>315</v>
      </c>
      <c r="G66">
        <f t="shared" si="8"/>
        <v>3328</v>
      </c>
      <c r="H66">
        <f t="shared" si="18"/>
        <v>256</v>
      </c>
      <c r="I66">
        <v>13</v>
      </c>
      <c r="J66">
        <f t="shared" si="19"/>
        <v>53248</v>
      </c>
      <c r="K66">
        <f t="shared" si="11"/>
        <v>16</v>
      </c>
      <c r="L66" s="1">
        <f t="shared" si="10"/>
        <v>0</v>
      </c>
      <c r="M66" s="1">
        <f t="shared" si="9"/>
        <v>7.6622596153846159E-2</v>
      </c>
      <c r="N66">
        <f t="shared" si="7"/>
        <v>13</v>
      </c>
      <c r="O66">
        <v>256</v>
      </c>
      <c r="P66">
        <f t="shared" si="6"/>
        <v>0</v>
      </c>
      <c r="Q66">
        <f t="shared" si="5"/>
        <v>0</v>
      </c>
      <c r="S66">
        <f t="shared" si="3"/>
        <v>768</v>
      </c>
    </row>
    <row r="67" spans="4:19" x14ac:dyDescent="0.2">
      <c r="D67">
        <f t="shared" ref="D67" si="45">I67/7</f>
        <v>1</v>
      </c>
      <c r="E67" s="1">
        <f t="shared" si="20"/>
        <v>0</v>
      </c>
      <c r="F67">
        <f>$E$21/I67</f>
        <v>585</v>
      </c>
      <c r="G67">
        <f t="shared" si="8"/>
        <v>3584</v>
      </c>
      <c r="H67">
        <f t="shared" si="18"/>
        <v>256</v>
      </c>
      <c r="I67">
        <v>7</v>
      </c>
      <c r="J67">
        <f t="shared" si="19"/>
        <v>28672</v>
      </c>
      <c r="K67">
        <f t="shared" si="11"/>
        <v>8</v>
      </c>
      <c r="L67" s="1">
        <f t="shared" si="10"/>
        <v>0</v>
      </c>
      <c r="M67" s="1">
        <f t="shared" si="9"/>
        <v>7.1149553571428575E-2</v>
      </c>
      <c r="N67">
        <f t="shared" si="7"/>
        <v>7</v>
      </c>
      <c r="O67">
        <v>512</v>
      </c>
      <c r="P67">
        <f t="shared" ref="P67:P98" si="46">J67-G67*K67</f>
        <v>0</v>
      </c>
      <c r="Q67">
        <f t="shared" si="5"/>
        <v>0</v>
      </c>
      <c r="S67">
        <f t="shared" si="3"/>
        <v>512</v>
      </c>
    </row>
    <row r="68" spans="4:19" x14ac:dyDescent="0.2">
      <c r="D68">
        <f t="shared" ref="D68" si="47">I68/15</f>
        <v>1</v>
      </c>
      <c r="E68" s="1">
        <f t="shared" si="20"/>
        <v>0</v>
      </c>
      <c r="F68">
        <f>$E$22/I68</f>
        <v>273</v>
      </c>
      <c r="G68">
        <f t="shared" si="8"/>
        <v>3840</v>
      </c>
      <c r="H68">
        <f t="shared" si="18"/>
        <v>256</v>
      </c>
      <c r="I68">
        <v>15</v>
      </c>
      <c r="J68">
        <f t="shared" si="19"/>
        <v>61440</v>
      </c>
      <c r="K68">
        <f t="shared" si="11"/>
        <v>16</v>
      </c>
      <c r="L68" s="1">
        <f t="shared" si="10"/>
        <v>0</v>
      </c>
      <c r="M68" s="1">
        <f t="shared" si="9"/>
        <v>6.640625E-2</v>
      </c>
      <c r="N68">
        <f t="shared" si="7"/>
        <v>15</v>
      </c>
      <c r="O68">
        <v>256</v>
      </c>
      <c r="P68">
        <f t="shared" si="46"/>
        <v>0</v>
      </c>
      <c r="Q68">
        <f t="shared" si="5"/>
        <v>0</v>
      </c>
      <c r="S68">
        <f t="shared" ref="S68:S70" si="48">FLOOR((G68 + 4095)/4096, 1)*4096 - G68</f>
        <v>256</v>
      </c>
    </row>
    <row r="69" spans="4:19" x14ac:dyDescent="0.2">
      <c r="D69">
        <f t="shared" ref="D69" si="49">I69</f>
        <v>1</v>
      </c>
      <c r="E69" s="1">
        <f t="shared" si="20"/>
        <v>0</v>
      </c>
      <c r="F69">
        <f t="shared" ref="F69" si="50">$E$15/I69</f>
        <v>4093</v>
      </c>
      <c r="G69">
        <f t="shared" si="8"/>
        <v>4096</v>
      </c>
      <c r="H69">
        <f t="shared" si="18"/>
        <v>256</v>
      </c>
      <c r="I69">
        <v>1</v>
      </c>
      <c r="J69">
        <f t="shared" si="19"/>
        <v>4096</v>
      </c>
      <c r="K69">
        <f t="shared" si="11"/>
        <v>1</v>
      </c>
      <c r="L69" s="1">
        <f t="shared" si="10"/>
        <v>0</v>
      </c>
      <c r="M69" s="1">
        <f t="shared" si="9"/>
        <v>6.2255859375E-2</v>
      </c>
      <c r="N69">
        <f t="shared" si="7"/>
        <v>1</v>
      </c>
      <c r="O69">
        <v>4096</v>
      </c>
      <c r="P69">
        <f t="shared" si="46"/>
        <v>0</v>
      </c>
      <c r="Q69">
        <f t="shared" ref="Q69:Q92" si="51">P69/I69</f>
        <v>0</v>
      </c>
      <c r="S69">
        <f t="shared" si="48"/>
        <v>0</v>
      </c>
    </row>
    <row r="70" spans="4:19" x14ac:dyDescent="0.2">
      <c r="D70">
        <f t="shared" ref="D70" si="52">I70/9</f>
        <v>1</v>
      </c>
      <c r="E70" s="1">
        <f t="shared" si="20"/>
        <v>0</v>
      </c>
      <c r="F70">
        <f>$E$16/I70</f>
        <v>455</v>
      </c>
      <c r="G70">
        <f t="shared" si="8"/>
        <v>4608</v>
      </c>
      <c r="H70">
        <v>512</v>
      </c>
      <c r="I70">
        <v>9</v>
      </c>
      <c r="J70">
        <f t="shared" si="19"/>
        <v>36864</v>
      </c>
      <c r="K70">
        <f t="shared" si="11"/>
        <v>8</v>
      </c>
      <c r="L70" s="1">
        <f t="shared" si="10"/>
        <v>0</v>
      </c>
      <c r="M70" s="1">
        <f t="shared" si="9"/>
        <v>0.11089409722222222</v>
      </c>
      <c r="N70">
        <f t="shared" si="7"/>
        <v>9</v>
      </c>
      <c r="O70">
        <v>512</v>
      </c>
      <c r="P70">
        <f t="shared" si="46"/>
        <v>0</v>
      </c>
      <c r="Q70">
        <f t="shared" si="51"/>
        <v>0</v>
      </c>
      <c r="S70">
        <f t="shared" si="48"/>
        <v>3584</v>
      </c>
    </row>
    <row r="71" spans="4:19" x14ac:dyDescent="0.2">
      <c r="D71">
        <f t="shared" ref="D71" si="53">I71/5</f>
        <v>1</v>
      </c>
      <c r="E71" s="1">
        <f t="shared" si="20"/>
        <v>0</v>
      </c>
      <c r="F71">
        <f>$E$17/I71</f>
        <v>819</v>
      </c>
      <c r="G71">
        <f t="shared" si="8"/>
        <v>5120</v>
      </c>
      <c r="H71">
        <f t="shared" si="18"/>
        <v>512</v>
      </c>
      <c r="I71">
        <v>5</v>
      </c>
      <c r="J71">
        <f t="shared" si="19"/>
        <v>20480</v>
      </c>
      <c r="K71">
        <f t="shared" si="11"/>
        <v>4</v>
      </c>
      <c r="L71" s="1">
        <f t="shared" si="10"/>
        <v>0</v>
      </c>
      <c r="M71" s="1">
        <f t="shared" si="9"/>
        <v>9.9804687500000003E-2</v>
      </c>
      <c r="N71">
        <f t="shared" ref="N71:N93" si="54">J71/4096</f>
        <v>5</v>
      </c>
      <c r="O71">
        <v>1024</v>
      </c>
      <c r="P71">
        <f t="shared" si="46"/>
        <v>0</v>
      </c>
      <c r="Q71">
        <f t="shared" si="51"/>
        <v>0</v>
      </c>
      <c r="S71">
        <f>FLOOR((G71 + 4095)/4096, 1)*4096 - G71</f>
        <v>3072</v>
      </c>
    </row>
    <row r="72" spans="4:19" x14ac:dyDescent="0.2">
      <c r="D72">
        <f t="shared" ref="D72" si="55">I72/11</f>
        <v>1</v>
      </c>
      <c r="E72" s="1">
        <f t="shared" si="20"/>
        <v>0</v>
      </c>
      <c r="F72">
        <f>$E$18/I72</f>
        <v>372</v>
      </c>
      <c r="G72">
        <f t="shared" ref="G72:G93" si="56">G71+H72</f>
        <v>5632</v>
      </c>
      <c r="H72">
        <f t="shared" si="18"/>
        <v>512</v>
      </c>
      <c r="I72">
        <v>11</v>
      </c>
      <c r="J72">
        <f t="shared" si="19"/>
        <v>45056</v>
      </c>
      <c r="K72">
        <f t="shared" si="11"/>
        <v>8</v>
      </c>
      <c r="L72" s="1">
        <f t="shared" si="10"/>
        <v>0</v>
      </c>
      <c r="M72" s="1">
        <f t="shared" ref="M72:M93" si="57">(G72-(G71+1))/(G72)</f>
        <v>9.0731534090909088E-2</v>
      </c>
      <c r="N72">
        <f t="shared" si="54"/>
        <v>11</v>
      </c>
      <c r="O72">
        <v>512</v>
      </c>
      <c r="P72">
        <f t="shared" si="46"/>
        <v>0</v>
      </c>
      <c r="Q72">
        <f t="shared" si="51"/>
        <v>0</v>
      </c>
      <c r="S72">
        <f t="shared" ref="S72:S124" si="58">FLOOR((G72 + 4095)/4096, 1)*4096 - G72</f>
        <v>2560</v>
      </c>
    </row>
    <row r="73" spans="4:19" x14ac:dyDescent="0.2">
      <c r="D73">
        <f t="shared" ref="D73" si="59">I73/3</f>
        <v>1</v>
      </c>
      <c r="E73" s="1">
        <f t="shared" si="20"/>
        <v>0</v>
      </c>
      <c r="F73">
        <f>$E$19/I73</f>
        <v>1365</v>
      </c>
      <c r="G73">
        <f t="shared" si="56"/>
        <v>6144</v>
      </c>
      <c r="H73">
        <f t="shared" si="18"/>
        <v>512</v>
      </c>
      <c r="I73">
        <v>3</v>
      </c>
      <c r="J73">
        <f t="shared" si="19"/>
        <v>12288</v>
      </c>
      <c r="K73">
        <f t="shared" ref="K73:K93" si="60">FLOOR(J73/G73,1)</f>
        <v>2</v>
      </c>
      <c r="L73" s="1">
        <f t="shared" ref="L73:L93" si="61">(J73-K73*G73)/J73</f>
        <v>0</v>
      </c>
      <c r="M73" s="1">
        <f t="shared" si="57"/>
        <v>8.3170572916666671E-2</v>
      </c>
      <c r="N73">
        <f t="shared" si="54"/>
        <v>3</v>
      </c>
      <c r="O73">
        <v>2048</v>
      </c>
      <c r="P73">
        <f t="shared" si="46"/>
        <v>0</v>
      </c>
      <c r="Q73">
        <f t="shared" si="51"/>
        <v>0</v>
      </c>
      <c r="S73">
        <f t="shared" si="58"/>
        <v>2048</v>
      </c>
    </row>
    <row r="74" spans="4:19" x14ac:dyDescent="0.2">
      <c r="D74">
        <f t="shared" ref="D74" si="62">I74/13</f>
        <v>1</v>
      </c>
      <c r="E74" s="1">
        <f t="shared" si="20"/>
        <v>0</v>
      </c>
      <c r="F74">
        <f>$E$20/I74</f>
        <v>315</v>
      </c>
      <c r="G74">
        <f t="shared" si="56"/>
        <v>6656</v>
      </c>
      <c r="H74">
        <f t="shared" si="18"/>
        <v>512</v>
      </c>
      <c r="I74">
        <v>13</v>
      </c>
      <c r="J74">
        <f t="shared" si="19"/>
        <v>53248</v>
      </c>
      <c r="K74">
        <f t="shared" si="60"/>
        <v>8</v>
      </c>
      <c r="L74" s="1">
        <f t="shared" si="61"/>
        <v>0</v>
      </c>
      <c r="M74" s="1">
        <f t="shared" si="57"/>
        <v>7.6772836538461536E-2</v>
      </c>
      <c r="N74">
        <f t="shared" si="54"/>
        <v>13</v>
      </c>
      <c r="O74">
        <v>512</v>
      </c>
      <c r="P74">
        <f t="shared" si="46"/>
        <v>0</v>
      </c>
      <c r="Q74">
        <f t="shared" si="51"/>
        <v>0</v>
      </c>
      <c r="S74">
        <f t="shared" si="58"/>
        <v>1536</v>
      </c>
    </row>
    <row r="75" spans="4:19" x14ac:dyDescent="0.2">
      <c r="D75">
        <f t="shared" ref="D75" si="63">I75/7</f>
        <v>1</v>
      </c>
      <c r="E75" s="1">
        <f t="shared" si="20"/>
        <v>0</v>
      </c>
      <c r="F75">
        <f>$E$21/I75</f>
        <v>585</v>
      </c>
      <c r="G75">
        <f t="shared" si="56"/>
        <v>7168</v>
      </c>
      <c r="H75">
        <f t="shared" si="18"/>
        <v>512</v>
      </c>
      <c r="I75">
        <v>7</v>
      </c>
      <c r="J75">
        <f t="shared" si="19"/>
        <v>28672</v>
      </c>
      <c r="K75">
        <f t="shared" si="60"/>
        <v>4</v>
      </c>
      <c r="L75" s="1">
        <f t="shared" si="61"/>
        <v>0</v>
      </c>
      <c r="M75" s="1">
        <f t="shared" si="57"/>
        <v>7.12890625E-2</v>
      </c>
      <c r="N75">
        <f t="shared" si="54"/>
        <v>7</v>
      </c>
      <c r="O75">
        <v>1024</v>
      </c>
      <c r="P75">
        <f t="shared" si="46"/>
        <v>0</v>
      </c>
      <c r="Q75">
        <f t="shared" si="51"/>
        <v>0</v>
      </c>
      <c r="S75">
        <f t="shared" si="58"/>
        <v>1024</v>
      </c>
    </row>
    <row r="76" spans="4:19" x14ac:dyDescent="0.2">
      <c r="D76">
        <f t="shared" ref="D76" si="64">I76/15</f>
        <v>1</v>
      </c>
      <c r="E76" s="1">
        <f t="shared" si="20"/>
        <v>0</v>
      </c>
      <c r="F76">
        <f>$E$22/I76</f>
        <v>273</v>
      </c>
      <c r="G76">
        <f t="shared" si="56"/>
        <v>7680</v>
      </c>
      <c r="H76">
        <f t="shared" si="18"/>
        <v>512</v>
      </c>
      <c r="I76">
        <v>15</v>
      </c>
      <c r="J76">
        <f t="shared" si="19"/>
        <v>61440</v>
      </c>
      <c r="K76">
        <f t="shared" si="60"/>
        <v>8</v>
      </c>
      <c r="L76" s="1">
        <f t="shared" si="61"/>
        <v>0</v>
      </c>
      <c r="M76" s="1">
        <f t="shared" si="57"/>
        <v>6.653645833333334E-2</v>
      </c>
      <c r="N76">
        <f t="shared" si="54"/>
        <v>15</v>
      </c>
      <c r="O76">
        <v>512</v>
      </c>
      <c r="P76">
        <f t="shared" si="46"/>
        <v>0</v>
      </c>
      <c r="Q76">
        <f t="shared" si="51"/>
        <v>0</v>
      </c>
      <c r="S76">
        <f t="shared" si="58"/>
        <v>512</v>
      </c>
    </row>
    <row r="77" spans="4:19" x14ac:dyDescent="0.2">
      <c r="D77">
        <f t="shared" ref="D77" si="65">I77</f>
        <v>2</v>
      </c>
      <c r="E77" s="1">
        <f t="shared" si="20"/>
        <v>2.4431956999755681E-4</v>
      </c>
      <c r="F77">
        <f t="shared" ref="F77" si="66">$E$15/I77</f>
        <v>2046.5</v>
      </c>
      <c r="G77">
        <f t="shared" si="56"/>
        <v>8192</v>
      </c>
      <c r="H77">
        <f t="shared" si="18"/>
        <v>512</v>
      </c>
      <c r="I77">
        <v>2</v>
      </c>
      <c r="J77">
        <f t="shared" si="19"/>
        <v>8192</v>
      </c>
      <c r="K77">
        <f t="shared" si="60"/>
        <v>1</v>
      </c>
      <c r="L77" s="1">
        <f t="shared" si="61"/>
        <v>0</v>
      </c>
      <c r="M77" s="1">
        <f t="shared" si="57"/>
        <v>6.23779296875E-2</v>
      </c>
      <c r="N77">
        <f t="shared" si="54"/>
        <v>2</v>
      </c>
      <c r="O77">
        <v>8192</v>
      </c>
      <c r="P77">
        <f t="shared" si="46"/>
        <v>0</v>
      </c>
      <c r="Q77">
        <f t="shared" si="51"/>
        <v>0</v>
      </c>
      <c r="S77">
        <f t="shared" si="58"/>
        <v>0</v>
      </c>
    </row>
    <row r="78" spans="4:19" x14ac:dyDescent="0.2">
      <c r="D78">
        <f t="shared" ref="D78" si="67">I78/9</f>
        <v>1</v>
      </c>
      <c r="E78" s="1">
        <f t="shared" si="20"/>
        <v>0</v>
      </c>
      <c r="F78">
        <f>$E$16/I78</f>
        <v>455</v>
      </c>
      <c r="G78">
        <f t="shared" si="56"/>
        <v>9216</v>
      </c>
      <c r="H78">
        <v>1024</v>
      </c>
      <c r="I78">
        <v>9</v>
      </c>
      <c r="J78">
        <f t="shared" si="19"/>
        <v>36864</v>
      </c>
      <c r="K78">
        <f t="shared" si="60"/>
        <v>4</v>
      </c>
      <c r="L78" s="1">
        <f t="shared" si="61"/>
        <v>0</v>
      </c>
      <c r="M78" s="1">
        <f t="shared" si="57"/>
        <v>0.11100260416666667</v>
      </c>
      <c r="N78">
        <f t="shared" si="54"/>
        <v>9</v>
      </c>
      <c r="O78">
        <v>1024</v>
      </c>
      <c r="P78">
        <f t="shared" si="46"/>
        <v>0</v>
      </c>
      <c r="Q78">
        <f t="shared" si="51"/>
        <v>0</v>
      </c>
      <c r="S78">
        <f t="shared" si="58"/>
        <v>3072</v>
      </c>
    </row>
    <row r="79" spans="4:19" x14ac:dyDescent="0.2">
      <c r="D79">
        <f t="shared" ref="D79" si="68">I79/5</f>
        <v>1</v>
      </c>
      <c r="E79" s="1">
        <f t="shared" si="20"/>
        <v>0</v>
      </c>
      <c r="F79">
        <f>$E$17/I79</f>
        <v>819</v>
      </c>
      <c r="G79">
        <f t="shared" si="56"/>
        <v>10240</v>
      </c>
      <c r="H79">
        <f t="shared" si="18"/>
        <v>1024</v>
      </c>
      <c r="I79">
        <v>5</v>
      </c>
      <c r="J79">
        <f t="shared" si="19"/>
        <v>20480</v>
      </c>
      <c r="K79">
        <f t="shared" si="60"/>
        <v>2</v>
      </c>
      <c r="L79" s="1">
        <f t="shared" si="61"/>
        <v>0</v>
      </c>
      <c r="M79" s="1">
        <f t="shared" si="57"/>
        <v>9.9902343749999997E-2</v>
      </c>
      <c r="N79">
        <f t="shared" si="54"/>
        <v>5</v>
      </c>
      <c r="O79">
        <v>2048</v>
      </c>
      <c r="P79">
        <f t="shared" si="46"/>
        <v>0</v>
      </c>
      <c r="Q79">
        <f t="shared" si="51"/>
        <v>0</v>
      </c>
      <c r="S79">
        <f t="shared" si="58"/>
        <v>2048</v>
      </c>
    </row>
    <row r="80" spans="4:19" x14ac:dyDescent="0.2">
      <c r="D80">
        <f t="shared" ref="D80" si="69">I80/11</f>
        <v>1</v>
      </c>
      <c r="E80" s="1">
        <f t="shared" si="20"/>
        <v>0</v>
      </c>
      <c r="F80">
        <f>$E$18/I80</f>
        <v>372</v>
      </c>
      <c r="G80">
        <f t="shared" si="56"/>
        <v>11264</v>
      </c>
      <c r="H80">
        <f t="shared" si="18"/>
        <v>1024</v>
      </c>
      <c r="I80">
        <v>11</v>
      </c>
      <c r="J80">
        <f t="shared" si="19"/>
        <v>45056</v>
      </c>
      <c r="K80">
        <f t="shared" si="60"/>
        <v>4</v>
      </c>
      <c r="L80" s="1">
        <f t="shared" si="61"/>
        <v>0</v>
      </c>
      <c r="M80" s="1">
        <f t="shared" si="57"/>
        <v>9.08203125E-2</v>
      </c>
      <c r="N80">
        <f t="shared" si="54"/>
        <v>11</v>
      </c>
      <c r="O80">
        <v>1024</v>
      </c>
      <c r="P80">
        <f t="shared" si="46"/>
        <v>0</v>
      </c>
      <c r="Q80">
        <f t="shared" si="51"/>
        <v>0</v>
      </c>
      <c r="S80">
        <f t="shared" si="58"/>
        <v>1024</v>
      </c>
    </row>
    <row r="81" spans="4:19" x14ac:dyDescent="0.2">
      <c r="D81">
        <f t="shared" ref="D81" si="70">I81/3</f>
        <v>1</v>
      </c>
      <c r="E81" s="1">
        <f t="shared" si="20"/>
        <v>0</v>
      </c>
      <c r="F81">
        <f>$E$19/I81</f>
        <v>1365</v>
      </c>
      <c r="G81">
        <f t="shared" si="56"/>
        <v>12288</v>
      </c>
      <c r="H81">
        <f t="shared" si="18"/>
        <v>1024</v>
      </c>
      <c r="I81">
        <v>3</v>
      </c>
      <c r="J81">
        <f t="shared" si="19"/>
        <v>12288</v>
      </c>
      <c r="K81">
        <f t="shared" si="60"/>
        <v>1</v>
      </c>
      <c r="L81" s="1">
        <f t="shared" si="61"/>
        <v>0</v>
      </c>
      <c r="M81" s="1">
        <f t="shared" si="57"/>
        <v>8.3251953125E-2</v>
      </c>
      <c r="N81">
        <f t="shared" si="54"/>
        <v>3</v>
      </c>
      <c r="O81">
        <v>4096</v>
      </c>
      <c r="P81">
        <f t="shared" si="46"/>
        <v>0</v>
      </c>
      <c r="Q81">
        <f t="shared" si="51"/>
        <v>0</v>
      </c>
      <c r="S81">
        <f t="shared" si="58"/>
        <v>0</v>
      </c>
    </row>
    <row r="82" spans="4:19" x14ac:dyDescent="0.2">
      <c r="D82">
        <f t="shared" ref="D82" si="71">I82/13</f>
        <v>1</v>
      </c>
      <c r="E82" s="1">
        <f t="shared" si="20"/>
        <v>0</v>
      </c>
      <c r="F82">
        <f>$E$20/I82</f>
        <v>315</v>
      </c>
      <c r="G82">
        <f t="shared" si="56"/>
        <v>13312</v>
      </c>
      <c r="H82">
        <f t="shared" si="18"/>
        <v>1024</v>
      </c>
      <c r="I82">
        <v>13</v>
      </c>
      <c r="J82">
        <f t="shared" si="19"/>
        <v>53248</v>
      </c>
      <c r="K82">
        <f t="shared" si="60"/>
        <v>4</v>
      </c>
      <c r="L82" s="1">
        <f t="shared" si="61"/>
        <v>0</v>
      </c>
      <c r="M82" s="1">
        <f t="shared" si="57"/>
        <v>7.6847956730769232E-2</v>
      </c>
      <c r="N82">
        <f t="shared" si="54"/>
        <v>13</v>
      </c>
      <c r="O82">
        <v>1024</v>
      </c>
      <c r="P82">
        <f t="shared" si="46"/>
        <v>0</v>
      </c>
      <c r="Q82">
        <f t="shared" si="51"/>
        <v>0</v>
      </c>
      <c r="S82">
        <f t="shared" si="58"/>
        <v>3072</v>
      </c>
    </row>
    <row r="83" spans="4:19" x14ac:dyDescent="0.2">
      <c r="D83">
        <f t="shared" ref="D83" si="72">I83/7</f>
        <v>1</v>
      </c>
      <c r="E83" s="1">
        <f t="shared" si="20"/>
        <v>0</v>
      </c>
      <c r="F83">
        <f>$E$21/I83</f>
        <v>585</v>
      </c>
      <c r="G83">
        <f t="shared" si="56"/>
        <v>14336</v>
      </c>
      <c r="H83">
        <f t="shared" si="18"/>
        <v>1024</v>
      </c>
      <c r="I83">
        <v>7</v>
      </c>
      <c r="J83">
        <f t="shared" si="19"/>
        <v>28672</v>
      </c>
      <c r="K83">
        <f t="shared" si="60"/>
        <v>2</v>
      </c>
      <c r="L83" s="1">
        <f t="shared" si="61"/>
        <v>0</v>
      </c>
      <c r="M83" s="1">
        <f t="shared" si="57"/>
        <v>7.1358816964285712E-2</v>
      </c>
      <c r="N83">
        <f t="shared" si="54"/>
        <v>7</v>
      </c>
      <c r="O83">
        <v>2048</v>
      </c>
      <c r="P83">
        <f t="shared" si="46"/>
        <v>0</v>
      </c>
      <c r="Q83">
        <f t="shared" si="51"/>
        <v>0</v>
      </c>
      <c r="S83">
        <f t="shared" si="58"/>
        <v>2048</v>
      </c>
    </row>
    <row r="84" spans="4:19" x14ac:dyDescent="0.2">
      <c r="D84">
        <f t="shared" ref="D84" si="73">I84/15</f>
        <v>1</v>
      </c>
      <c r="E84" s="1">
        <f t="shared" si="20"/>
        <v>0</v>
      </c>
      <c r="F84">
        <f>$E$22/I84</f>
        <v>273</v>
      </c>
      <c r="G84">
        <f t="shared" si="56"/>
        <v>15360</v>
      </c>
      <c r="H84">
        <f t="shared" si="18"/>
        <v>1024</v>
      </c>
      <c r="I84">
        <v>15</v>
      </c>
      <c r="J84">
        <f t="shared" si="19"/>
        <v>61440</v>
      </c>
      <c r="K84">
        <f t="shared" si="60"/>
        <v>4</v>
      </c>
      <c r="L84" s="1">
        <f t="shared" si="61"/>
        <v>0</v>
      </c>
      <c r="M84" s="1">
        <f t="shared" si="57"/>
        <v>6.6601562500000003E-2</v>
      </c>
      <c r="N84">
        <f t="shared" si="54"/>
        <v>15</v>
      </c>
      <c r="O84">
        <v>1024</v>
      </c>
      <c r="P84">
        <f t="shared" si="46"/>
        <v>0</v>
      </c>
      <c r="Q84">
        <f t="shared" si="51"/>
        <v>0</v>
      </c>
      <c r="S84">
        <f t="shared" si="58"/>
        <v>1024</v>
      </c>
    </row>
    <row r="85" spans="4:19" x14ac:dyDescent="0.2">
      <c r="D85">
        <f t="shared" ref="D85" si="74">I85</f>
        <v>4</v>
      </c>
      <c r="E85" s="1">
        <f t="shared" si="20"/>
        <v>2.4431956999755681E-4</v>
      </c>
      <c r="F85">
        <f t="shared" ref="F85" si="75">$E$15/I85</f>
        <v>1023.25</v>
      </c>
      <c r="G85">
        <f t="shared" si="56"/>
        <v>16384</v>
      </c>
      <c r="H85">
        <f t="shared" si="18"/>
        <v>1024</v>
      </c>
      <c r="I85">
        <v>4</v>
      </c>
      <c r="J85">
        <f t="shared" si="19"/>
        <v>16384</v>
      </c>
      <c r="K85">
        <f t="shared" si="60"/>
        <v>1</v>
      </c>
      <c r="L85" s="1">
        <f t="shared" si="61"/>
        <v>0</v>
      </c>
      <c r="M85" s="1">
        <f t="shared" si="57"/>
        <v>6.243896484375E-2</v>
      </c>
      <c r="N85">
        <f t="shared" si="54"/>
        <v>4</v>
      </c>
      <c r="O85">
        <v>16384</v>
      </c>
      <c r="P85">
        <f t="shared" si="46"/>
        <v>0</v>
      </c>
      <c r="Q85">
        <f t="shared" si="51"/>
        <v>0</v>
      </c>
      <c r="S85">
        <f t="shared" si="58"/>
        <v>0</v>
      </c>
    </row>
    <row r="86" spans="4:19" x14ac:dyDescent="0.2">
      <c r="D86">
        <f t="shared" ref="D86" si="76">I86/9</f>
        <v>1</v>
      </c>
      <c r="E86" s="1">
        <f t="shared" si="20"/>
        <v>0</v>
      </c>
      <c r="F86">
        <f>$E$16/I86</f>
        <v>455</v>
      </c>
      <c r="G86">
        <f t="shared" si="56"/>
        <v>18432</v>
      </c>
      <c r="H86">
        <v>2048</v>
      </c>
      <c r="I86">
        <v>9</v>
      </c>
      <c r="J86">
        <f t="shared" si="19"/>
        <v>36864</v>
      </c>
      <c r="K86">
        <f t="shared" si="60"/>
        <v>2</v>
      </c>
      <c r="L86" s="1">
        <f t="shared" si="61"/>
        <v>0</v>
      </c>
      <c r="M86" s="1">
        <f t="shared" si="57"/>
        <v>0.1110568576388889</v>
      </c>
      <c r="N86">
        <f t="shared" si="54"/>
        <v>9</v>
      </c>
      <c r="O86">
        <v>2048</v>
      </c>
      <c r="P86">
        <f t="shared" si="46"/>
        <v>0</v>
      </c>
      <c r="Q86">
        <f t="shared" si="51"/>
        <v>0</v>
      </c>
      <c r="S86">
        <f t="shared" si="58"/>
        <v>2048</v>
      </c>
    </row>
    <row r="87" spans="4:19" x14ac:dyDescent="0.2">
      <c r="D87">
        <f t="shared" ref="D87" si="77">I87/5</f>
        <v>1</v>
      </c>
      <c r="E87" s="1">
        <f t="shared" si="20"/>
        <v>0</v>
      </c>
      <c r="F87">
        <f>$E$17/I87</f>
        <v>819</v>
      </c>
      <c r="G87">
        <f t="shared" si="56"/>
        <v>20480</v>
      </c>
      <c r="H87">
        <f t="shared" si="18"/>
        <v>2048</v>
      </c>
      <c r="I87">
        <v>5</v>
      </c>
      <c r="J87">
        <f t="shared" si="19"/>
        <v>20480</v>
      </c>
      <c r="K87">
        <f t="shared" si="60"/>
        <v>1</v>
      </c>
      <c r="L87" s="1">
        <f t="shared" si="61"/>
        <v>0</v>
      </c>
      <c r="M87" s="1">
        <f t="shared" si="57"/>
        <v>9.9951171874999994E-2</v>
      </c>
      <c r="N87">
        <f t="shared" si="54"/>
        <v>5</v>
      </c>
      <c r="O87">
        <v>4096</v>
      </c>
      <c r="P87">
        <f t="shared" si="46"/>
        <v>0</v>
      </c>
      <c r="Q87">
        <f t="shared" si="51"/>
        <v>0</v>
      </c>
      <c r="S87">
        <f t="shared" si="58"/>
        <v>0</v>
      </c>
    </row>
    <row r="88" spans="4:19" x14ac:dyDescent="0.2">
      <c r="D88">
        <f t="shared" ref="D88" si="78">I88/11</f>
        <v>1</v>
      </c>
      <c r="E88" s="1">
        <f t="shared" si="20"/>
        <v>0</v>
      </c>
      <c r="F88">
        <f>$E$18/I88</f>
        <v>372</v>
      </c>
      <c r="G88">
        <f t="shared" si="56"/>
        <v>22528</v>
      </c>
      <c r="H88">
        <f t="shared" ref="H88:H93" si="79">H87</f>
        <v>2048</v>
      </c>
      <c r="I88">
        <v>11</v>
      </c>
      <c r="J88">
        <f t="shared" si="19"/>
        <v>45056</v>
      </c>
      <c r="K88">
        <f t="shared" si="60"/>
        <v>2</v>
      </c>
      <c r="L88" s="1">
        <f t="shared" si="61"/>
        <v>0</v>
      </c>
      <c r="M88" s="1">
        <f t="shared" si="57"/>
        <v>9.0864701704545456E-2</v>
      </c>
      <c r="N88">
        <f t="shared" si="54"/>
        <v>11</v>
      </c>
      <c r="O88">
        <v>2048</v>
      </c>
      <c r="P88">
        <f t="shared" si="46"/>
        <v>0</v>
      </c>
      <c r="Q88">
        <f t="shared" si="51"/>
        <v>0</v>
      </c>
      <c r="S88">
        <f t="shared" si="58"/>
        <v>2048</v>
      </c>
    </row>
    <row r="89" spans="4:19" x14ac:dyDescent="0.2">
      <c r="D89">
        <f t="shared" ref="D89" si="80">I89/3</f>
        <v>2</v>
      </c>
      <c r="E89" s="1">
        <f t="shared" si="20"/>
        <v>7.326007326007326E-4</v>
      </c>
      <c r="F89">
        <f>$E$19/I89</f>
        <v>682.5</v>
      </c>
      <c r="G89">
        <f t="shared" si="56"/>
        <v>24576</v>
      </c>
      <c r="H89">
        <f t="shared" si="79"/>
        <v>2048</v>
      </c>
      <c r="I89">
        <v>6</v>
      </c>
      <c r="J89">
        <f t="shared" ref="J89:J124" si="81">4096*I89</f>
        <v>24576</v>
      </c>
      <c r="K89">
        <f t="shared" si="60"/>
        <v>1</v>
      </c>
      <c r="L89" s="1">
        <f t="shared" si="61"/>
        <v>0</v>
      </c>
      <c r="M89" s="1">
        <f t="shared" si="57"/>
        <v>8.3292643229166671E-2</v>
      </c>
      <c r="N89">
        <f t="shared" si="54"/>
        <v>6</v>
      </c>
      <c r="O89">
        <v>8192</v>
      </c>
      <c r="P89">
        <f t="shared" si="46"/>
        <v>0</v>
      </c>
      <c r="Q89">
        <f t="shared" si="51"/>
        <v>0</v>
      </c>
      <c r="S89">
        <f t="shared" si="58"/>
        <v>0</v>
      </c>
    </row>
    <row r="90" spans="4:19" x14ac:dyDescent="0.2">
      <c r="D90">
        <f t="shared" ref="D90" si="82">I90/13</f>
        <v>1</v>
      </c>
      <c r="E90" s="1">
        <f t="shared" si="20"/>
        <v>0</v>
      </c>
      <c r="F90">
        <f>$E$20/I90</f>
        <v>315</v>
      </c>
      <c r="G90">
        <f t="shared" si="56"/>
        <v>26624</v>
      </c>
      <c r="H90">
        <f t="shared" si="79"/>
        <v>2048</v>
      </c>
      <c r="I90">
        <v>13</v>
      </c>
      <c r="J90">
        <f t="shared" si="81"/>
        <v>53248</v>
      </c>
      <c r="K90">
        <f t="shared" si="60"/>
        <v>2</v>
      </c>
      <c r="L90" s="1">
        <f t="shared" si="61"/>
        <v>0</v>
      </c>
      <c r="M90" s="1">
        <f t="shared" si="57"/>
        <v>7.6885516826923073E-2</v>
      </c>
      <c r="N90">
        <f t="shared" si="54"/>
        <v>13</v>
      </c>
      <c r="O90">
        <v>2048</v>
      </c>
      <c r="P90">
        <f t="shared" si="46"/>
        <v>0</v>
      </c>
      <c r="Q90">
        <f t="shared" si="51"/>
        <v>0</v>
      </c>
      <c r="S90">
        <f t="shared" si="58"/>
        <v>2048</v>
      </c>
    </row>
    <row r="91" spans="4:19" x14ac:dyDescent="0.2">
      <c r="D91">
        <f t="shared" ref="D91" si="83">I91/7</f>
        <v>1</v>
      </c>
      <c r="E91" s="1">
        <f t="shared" si="20"/>
        <v>0</v>
      </c>
      <c r="F91">
        <f>$E$21/I91</f>
        <v>585</v>
      </c>
      <c r="G91">
        <f t="shared" si="56"/>
        <v>28672</v>
      </c>
      <c r="H91">
        <f t="shared" si="79"/>
        <v>2048</v>
      </c>
      <c r="I91">
        <v>7</v>
      </c>
      <c r="J91">
        <f t="shared" si="81"/>
        <v>28672</v>
      </c>
      <c r="K91">
        <f t="shared" si="60"/>
        <v>1</v>
      </c>
      <c r="L91" s="1">
        <f t="shared" si="61"/>
        <v>0</v>
      </c>
      <c r="M91" s="1">
        <f t="shared" si="57"/>
        <v>7.1393694196428575E-2</v>
      </c>
      <c r="N91">
        <f t="shared" si="54"/>
        <v>7</v>
      </c>
      <c r="O91">
        <v>4096</v>
      </c>
      <c r="P91">
        <f t="shared" si="46"/>
        <v>0</v>
      </c>
      <c r="Q91">
        <f t="shared" si="51"/>
        <v>0</v>
      </c>
      <c r="S91">
        <f t="shared" si="58"/>
        <v>0</v>
      </c>
    </row>
    <row r="92" spans="4:19" x14ac:dyDescent="0.2">
      <c r="D92">
        <f t="shared" ref="D92" si="84">I92/15</f>
        <v>1</v>
      </c>
      <c r="E92" s="1">
        <f t="shared" si="20"/>
        <v>0</v>
      </c>
      <c r="F92">
        <f>$E$22/I92</f>
        <v>273</v>
      </c>
      <c r="G92">
        <f t="shared" si="56"/>
        <v>30720</v>
      </c>
      <c r="H92">
        <f t="shared" si="79"/>
        <v>2048</v>
      </c>
      <c r="I92">
        <v>15</v>
      </c>
      <c r="J92">
        <f t="shared" si="81"/>
        <v>61440</v>
      </c>
      <c r="K92">
        <f t="shared" si="60"/>
        <v>2</v>
      </c>
      <c r="L92" s="1">
        <f t="shared" si="61"/>
        <v>0</v>
      </c>
      <c r="M92" s="1">
        <f t="shared" si="57"/>
        <v>6.6634114583333334E-2</v>
      </c>
      <c r="N92">
        <f t="shared" si="54"/>
        <v>15</v>
      </c>
      <c r="O92">
        <v>2048</v>
      </c>
      <c r="P92">
        <f t="shared" si="46"/>
        <v>0</v>
      </c>
      <c r="Q92">
        <f t="shared" si="51"/>
        <v>0</v>
      </c>
      <c r="S92">
        <f t="shared" si="58"/>
        <v>2048</v>
      </c>
    </row>
    <row r="93" spans="4:19" x14ac:dyDescent="0.2">
      <c r="D93">
        <f t="shared" ref="D93" si="85">I93</f>
        <v>8</v>
      </c>
      <c r="E93" s="1">
        <f t="shared" si="20"/>
        <v>1.221597849987784E-3</v>
      </c>
      <c r="F93">
        <f t="shared" ref="F93" si="86">$E$15/I93</f>
        <v>511.625</v>
      </c>
      <c r="G93">
        <f t="shared" si="56"/>
        <v>32768</v>
      </c>
      <c r="H93">
        <f t="shared" si="79"/>
        <v>2048</v>
      </c>
      <c r="I93">
        <v>8</v>
      </c>
      <c r="J93">
        <f t="shared" si="81"/>
        <v>32768</v>
      </c>
      <c r="K93">
        <f t="shared" si="60"/>
        <v>1</v>
      </c>
      <c r="L93" s="1">
        <f t="shared" si="61"/>
        <v>0</v>
      </c>
      <c r="M93" s="1">
        <f t="shared" si="57"/>
        <v>6.2469482421875E-2</v>
      </c>
      <c r="N93">
        <f t="shared" si="54"/>
        <v>8</v>
      </c>
      <c r="O93">
        <v>32768</v>
      </c>
      <c r="P93">
        <f t="shared" si="46"/>
        <v>0</v>
      </c>
      <c r="Q93">
        <f>P93/I93</f>
        <v>0</v>
      </c>
      <c r="S93">
        <f t="shared" si="58"/>
        <v>0</v>
      </c>
    </row>
    <row r="94" spans="4:19" x14ac:dyDescent="0.2">
      <c r="D94">
        <f t="shared" ref="D94" si="87">I94/9</f>
        <v>1</v>
      </c>
      <c r="E94" s="1">
        <f t="shared" si="20"/>
        <v>0</v>
      </c>
      <c r="F94">
        <f>$E$16/I94</f>
        <v>455</v>
      </c>
      <c r="G94">
        <f t="shared" ref="G94:G101" si="88">G93+H94</f>
        <v>36864</v>
      </c>
      <c r="H94">
        <v>4096</v>
      </c>
      <c r="I94">
        <v>9</v>
      </c>
      <c r="J94">
        <f t="shared" si="81"/>
        <v>36864</v>
      </c>
      <c r="K94">
        <f t="shared" ref="K94:K101" si="89">FLOOR(J94/G94,1)</f>
        <v>1</v>
      </c>
      <c r="L94" s="1">
        <f t="shared" ref="L94:L101" si="90">(J94-K94*G94)/J94</f>
        <v>0</v>
      </c>
      <c r="M94" s="1">
        <f t="shared" ref="M94:M101" si="91">(G94-(G93+1))/(G94)</f>
        <v>0.111083984375</v>
      </c>
      <c r="N94">
        <f t="shared" ref="N94:N101" si="92">J94/4096</f>
        <v>9</v>
      </c>
      <c r="O94">
        <v>2048</v>
      </c>
      <c r="P94">
        <f t="shared" si="46"/>
        <v>0</v>
      </c>
      <c r="Q94">
        <f t="shared" ref="Q94:Q100" si="93">P94/I94</f>
        <v>0</v>
      </c>
      <c r="S94">
        <f t="shared" si="58"/>
        <v>0</v>
      </c>
    </row>
    <row r="95" spans="4:19" x14ac:dyDescent="0.2">
      <c r="D95">
        <f t="shared" ref="D95" si="94">I95/5</f>
        <v>2</v>
      </c>
      <c r="E95" s="1">
        <f t="shared" si="20"/>
        <v>1.221001221001221E-3</v>
      </c>
      <c r="F95">
        <f>$E$17/I95</f>
        <v>409.5</v>
      </c>
      <c r="G95">
        <f t="shared" si="88"/>
        <v>40960</v>
      </c>
      <c r="H95">
        <f t="shared" ref="H95:H140" si="95">H94</f>
        <v>4096</v>
      </c>
      <c r="I95">
        <v>10</v>
      </c>
      <c r="J95">
        <f t="shared" si="81"/>
        <v>40960</v>
      </c>
      <c r="K95">
        <f t="shared" si="89"/>
        <v>1</v>
      </c>
      <c r="L95" s="1">
        <f t="shared" si="90"/>
        <v>0</v>
      </c>
      <c r="M95" s="1">
        <f t="shared" si="91"/>
        <v>9.99755859375E-2</v>
      </c>
      <c r="N95">
        <f t="shared" si="92"/>
        <v>10</v>
      </c>
      <c r="O95">
        <v>4096</v>
      </c>
      <c r="P95">
        <f t="shared" si="46"/>
        <v>0</v>
      </c>
      <c r="Q95">
        <f t="shared" si="93"/>
        <v>0</v>
      </c>
      <c r="S95">
        <f t="shared" si="58"/>
        <v>0</v>
      </c>
    </row>
    <row r="96" spans="4:19" x14ac:dyDescent="0.2">
      <c r="D96">
        <f t="shared" ref="D96" si="96">I96/11</f>
        <v>1</v>
      </c>
      <c r="E96" s="1">
        <f t="shared" si="20"/>
        <v>0</v>
      </c>
      <c r="F96">
        <f>$E$18/I96</f>
        <v>372</v>
      </c>
      <c r="G96">
        <f t="shared" si="88"/>
        <v>45056</v>
      </c>
      <c r="H96">
        <f t="shared" si="95"/>
        <v>4096</v>
      </c>
      <c r="I96">
        <v>11</v>
      </c>
      <c r="J96">
        <f t="shared" si="81"/>
        <v>45056</v>
      </c>
      <c r="K96">
        <f t="shared" si="89"/>
        <v>1</v>
      </c>
      <c r="L96" s="1">
        <f t="shared" si="90"/>
        <v>0</v>
      </c>
      <c r="M96" s="1">
        <f t="shared" si="91"/>
        <v>9.0886896306818177E-2</v>
      </c>
      <c r="N96">
        <f t="shared" si="92"/>
        <v>11</v>
      </c>
      <c r="O96">
        <v>2048</v>
      </c>
      <c r="P96">
        <f t="shared" si="46"/>
        <v>0</v>
      </c>
      <c r="Q96">
        <f t="shared" si="93"/>
        <v>0</v>
      </c>
      <c r="S96">
        <f t="shared" si="58"/>
        <v>0</v>
      </c>
    </row>
    <row r="97" spans="4:30" x14ac:dyDescent="0.2">
      <c r="D97">
        <f t="shared" ref="D97" si="97">I97/3</f>
        <v>4</v>
      </c>
      <c r="E97" s="1">
        <f t="shared" si="20"/>
        <v>7.326007326007326E-4</v>
      </c>
      <c r="F97">
        <f>$E$19/I97</f>
        <v>341.25</v>
      </c>
      <c r="G97">
        <f t="shared" si="88"/>
        <v>49152</v>
      </c>
      <c r="H97">
        <f t="shared" si="95"/>
        <v>4096</v>
      </c>
      <c r="I97">
        <v>12</v>
      </c>
      <c r="J97">
        <f t="shared" si="81"/>
        <v>49152</v>
      </c>
      <c r="K97">
        <f t="shared" si="89"/>
        <v>1</v>
      </c>
      <c r="L97" s="1">
        <f t="shared" si="90"/>
        <v>0</v>
      </c>
      <c r="M97" s="1">
        <f t="shared" si="91"/>
        <v>8.331298828125E-2</v>
      </c>
      <c r="N97">
        <f t="shared" si="92"/>
        <v>12</v>
      </c>
      <c r="O97">
        <v>8192</v>
      </c>
      <c r="P97">
        <f t="shared" si="46"/>
        <v>0</v>
      </c>
      <c r="Q97">
        <f t="shared" si="93"/>
        <v>0</v>
      </c>
      <c r="S97">
        <f t="shared" si="58"/>
        <v>0</v>
      </c>
    </row>
    <row r="98" spans="4:30" x14ac:dyDescent="0.2">
      <c r="D98">
        <f t="shared" ref="D98" si="98">I98/13</f>
        <v>1</v>
      </c>
      <c r="E98" s="1">
        <f t="shared" si="20"/>
        <v>0</v>
      </c>
      <c r="F98">
        <f>$E$20/I98</f>
        <v>315</v>
      </c>
      <c r="G98">
        <f t="shared" si="88"/>
        <v>53248</v>
      </c>
      <c r="H98">
        <f t="shared" si="95"/>
        <v>4096</v>
      </c>
      <c r="I98">
        <v>13</v>
      </c>
      <c r="J98">
        <f t="shared" si="81"/>
        <v>53248</v>
      </c>
      <c r="K98">
        <f t="shared" si="89"/>
        <v>1</v>
      </c>
      <c r="L98" s="1">
        <f t="shared" si="90"/>
        <v>0</v>
      </c>
      <c r="M98" s="1">
        <f t="shared" si="91"/>
        <v>7.6904296875E-2</v>
      </c>
      <c r="N98">
        <f t="shared" si="92"/>
        <v>13</v>
      </c>
      <c r="O98">
        <v>2048</v>
      </c>
      <c r="P98">
        <f t="shared" si="46"/>
        <v>0</v>
      </c>
      <c r="Q98">
        <f t="shared" si="93"/>
        <v>0</v>
      </c>
      <c r="S98">
        <f t="shared" si="58"/>
        <v>0</v>
      </c>
    </row>
    <row r="99" spans="4:30" x14ac:dyDescent="0.2">
      <c r="D99">
        <f t="shared" ref="D99" si="99">I99/7</f>
        <v>2</v>
      </c>
      <c r="E99" s="1">
        <f t="shared" si="20"/>
        <v>1.7094017094017094E-3</v>
      </c>
      <c r="F99">
        <f>$E$21/I99</f>
        <v>292.5</v>
      </c>
      <c r="G99">
        <f t="shared" si="88"/>
        <v>57344</v>
      </c>
      <c r="H99">
        <f t="shared" si="95"/>
        <v>4096</v>
      </c>
      <c r="I99">
        <v>14</v>
      </c>
      <c r="J99">
        <f t="shared" si="81"/>
        <v>57344</v>
      </c>
      <c r="K99">
        <f t="shared" si="89"/>
        <v>1</v>
      </c>
      <c r="L99" s="1">
        <f t="shared" si="90"/>
        <v>0</v>
      </c>
      <c r="M99" s="1">
        <f t="shared" si="91"/>
        <v>7.14111328125E-2</v>
      </c>
      <c r="N99">
        <f t="shared" si="92"/>
        <v>14</v>
      </c>
      <c r="O99">
        <v>4096</v>
      </c>
      <c r="P99">
        <f t="shared" ref="P99:P124" si="100">J99-G99*K99</f>
        <v>0</v>
      </c>
      <c r="Q99">
        <f t="shared" si="93"/>
        <v>0</v>
      </c>
      <c r="S99">
        <f t="shared" si="58"/>
        <v>0</v>
      </c>
    </row>
    <row r="100" spans="4:30" x14ac:dyDescent="0.2">
      <c r="D100">
        <f t="shared" ref="D100" si="101">I100/15</f>
        <v>1</v>
      </c>
      <c r="E100" s="1">
        <f t="shared" si="20"/>
        <v>0</v>
      </c>
      <c r="F100">
        <f>$E$22/I100</f>
        <v>273</v>
      </c>
      <c r="G100">
        <f t="shared" si="88"/>
        <v>61440</v>
      </c>
      <c r="H100">
        <f t="shared" si="95"/>
        <v>4096</v>
      </c>
      <c r="I100">
        <v>15</v>
      </c>
      <c r="J100">
        <f t="shared" si="81"/>
        <v>61440</v>
      </c>
      <c r="K100">
        <f t="shared" si="89"/>
        <v>1</v>
      </c>
      <c r="L100" s="1">
        <f t="shared" si="90"/>
        <v>0</v>
      </c>
      <c r="M100" s="1">
        <f t="shared" si="91"/>
        <v>6.6650390625E-2</v>
      </c>
      <c r="N100">
        <f t="shared" si="92"/>
        <v>15</v>
      </c>
      <c r="O100">
        <v>2048</v>
      </c>
      <c r="P100">
        <f t="shared" si="100"/>
        <v>0</v>
      </c>
      <c r="Q100">
        <f t="shared" si="93"/>
        <v>0</v>
      </c>
      <c r="S100">
        <f t="shared" si="58"/>
        <v>0</v>
      </c>
    </row>
    <row r="101" spans="4:30" x14ac:dyDescent="0.2">
      <c r="D101">
        <f t="shared" ref="D101" si="102">I101</f>
        <v>16</v>
      </c>
      <c r="E101" s="1">
        <f t="shared" ref="E101" si="103">(F101 - FLOOR(F101,1))/F101</f>
        <v>3.1761544099682387E-3</v>
      </c>
      <c r="F101">
        <f t="shared" ref="F101" si="104">$E$15/I101</f>
        <v>255.8125</v>
      </c>
      <c r="G101">
        <f t="shared" si="88"/>
        <v>65536</v>
      </c>
      <c r="H101">
        <f t="shared" si="95"/>
        <v>4096</v>
      </c>
      <c r="I101">
        <v>16</v>
      </c>
      <c r="J101">
        <f t="shared" si="81"/>
        <v>65536</v>
      </c>
      <c r="K101">
        <f t="shared" si="89"/>
        <v>1</v>
      </c>
      <c r="L101" s="1">
        <f t="shared" si="90"/>
        <v>0</v>
      </c>
      <c r="M101" s="1">
        <f t="shared" si="91"/>
        <v>6.24847412109375E-2</v>
      </c>
      <c r="N101">
        <f t="shared" si="92"/>
        <v>16</v>
      </c>
      <c r="O101">
        <f>O93*2</f>
        <v>65536</v>
      </c>
      <c r="P101">
        <f t="shared" si="100"/>
        <v>0</v>
      </c>
      <c r="Q101">
        <f>P101/I101</f>
        <v>0</v>
      </c>
      <c r="S101">
        <f t="shared" si="58"/>
        <v>0</v>
      </c>
    </row>
    <row r="102" spans="4:30" x14ac:dyDescent="0.2">
      <c r="D102">
        <f t="shared" ref="D102" si="105">I102/9</f>
        <v>2</v>
      </c>
      <c r="E102" s="1">
        <f>(F102 - FLOOR(F102,1))/F102</f>
        <v>2.1978021978021978E-3</v>
      </c>
      <c r="F102">
        <f>$E$16/I102</f>
        <v>227.5</v>
      </c>
      <c r="G102">
        <f t="shared" ref="G102:G109" si="106">G101+H102</f>
        <v>73728</v>
      </c>
      <c r="H102">
        <v>8192</v>
      </c>
      <c r="I102">
        <v>18</v>
      </c>
      <c r="J102">
        <f t="shared" si="81"/>
        <v>73728</v>
      </c>
      <c r="K102">
        <f t="shared" ref="K102:K109" si="107">FLOOR(J102/G102,1)</f>
        <v>1</v>
      </c>
      <c r="L102" s="1">
        <f t="shared" ref="L102:L109" si="108">(J102-K102*G102)/J102</f>
        <v>0</v>
      </c>
      <c r="M102" s="1">
        <f t="shared" ref="M102:M109" si="109">(G102-(G101+1))/(G102)</f>
        <v>0.11109754774305555</v>
      </c>
      <c r="N102">
        <f t="shared" ref="N102:N109" si="110">J102/4096</f>
        <v>18</v>
      </c>
      <c r="O102">
        <f t="shared" ref="O102:O140" si="111">O94*2</f>
        <v>4096</v>
      </c>
      <c r="P102">
        <f t="shared" si="100"/>
        <v>0</v>
      </c>
      <c r="Q102">
        <f t="shared" ref="Q102:Q108" si="112">P102/I102</f>
        <v>0</v>
      </c>
      <c r="S102">
        <f t="shared" si="58"/>
        <v>0</v>
      </c>
    </row>
    <row r="103" spans="4:30" x14ac:dyDescent="0.2">
      <c r="D103">
        <f t="shared" ref="D103" si="113">I103/5</f>
        <v>4</v>
      </c>
      <c r="E103" s="1">
        <f t="shared" ref="E103:E124" si="114">(F103 - FLOOR(F103,1))/F103</f>
        <v>3.663003663003663E-3</v>
      </c>
      <c r="F103">
        <f>$E$17/I103</f>
        <v>204.75</v>
      </c>
      <c r="G103">
        <f t="shared" si="106"/>
        <v>81920</v>
      </c>
      <c r="H103">
        <f t="shared" si="95"/>
        <v>8192</v>
      </c>
      <c r="I103">
        <v>20</v>
      </c>
      <c r="J103">
        <f t="shared" si="81"/>
        <v>81920</v>
      </c>
      <c r="K103">
        <f t="shared" si="107"/>
        <v>1</v>
      </c>
      <c r="L103" s="1">
        <f t="shared" si="108"/>
        <v>0</v>
      </c>
      <c r="M103" s="1">
        <f t="shared" si="109"/>
        <v>9.9987792968750003E-2</v>
      </c>
      <c r="N103">
        <f t="shared" si="110"/>
        <v>20</v>
      </c>
      <c r="O103">
        <f t="shared" si="111"/>
        <v>8192</v>
      </c>
      <c r="P103">
        <f t="shared" si="100"/>
        <v>0</v>
      </c>
      <c r="Q103">
        <f t="shared" si="112"/>
        <v>0</v>
      </c>
      <c r="S103">
        <f t="shared" si="58"/>
        <v>0</v>
      </c>
    </row>
    <row r="104" spans="4:30" x14ac:dyDescent="0.2">
      <c r="D104">
        <f t="shared" ref="D104" si="115">I104/11</f>
        <v>2</v>
      </c>
      <c r="E104" s="1">
        <f t="shared" si="114"/>
        <v>0</v>
      </c>
      <c r="F104">
        <f>$E$18/I104</f>
        <v>186</v>
      </c>
      <c r="G104">
        <f t="shared" si="106"/>
        <v>90112</v>
      </c>
      <c r="H104">
        <f t="shared" si="95"/>
        <v>8192</v>
      </c>
      <c r="I104">
        <v>22</v>
      </c>
      <c r="J104">
        <f t="shared" si="81"/>
        <v>90112</v>
      </c>
      <c r="K104">
        <f t="shared" si="107"/>
        <v>1</v>
      </c>
      <c r="L104" s="1">
        <f t="shared" si="108"/>
        <v>0</v>
      </c>
      <c r="M104" s="1">
        <f t="shared" si="109"/>
        <v>9.0897993607954544E-2</v>
      </c>
      <c r="N104">
        <f t="shared" si="110"/>
        <v>22</v>
      </c>
      <c r="O104">
        <f t="shared" si="111"/>
        <v>4096</v>
      </c>
      <c r="P104">
        <f t="shared" si="100"/>
        <v>0</v>
      </c>
      <c r="Q104">
        <f t="shared" si="112"/>
        <v>0</v>
      </c>
      <c r="S104">
        <f t="shared" si="58"/>
        <v>0</v>
      </c>
    </row>
    <row r="105" spans="4:30" x14ac:dyDescent="0.2">
      <c r="D105">
        <f t="shared" ref="D105" si="116">I105/3</f>
        <v>8</v>
      </c>
      <c r="E105" s="1">
        <f t="shared" si="114"/>
        <v>3.663003663003663E-3</v>
      </c>
      <c r="F105">
        <f>$E$19/I105</f>
        <v>170.625</v>
      </c>
      <c r="G105">
        <f t="shared" si="106"/>
        <v>98304</v>
      </c>
      <c r="H105">
        <f t="shared" si="95"/>
        <v>8192</v>
      </c>
      <c r="I105">
        <v>24</v>
      </c>
      <c r="J105">
        <f t="shared" si="81"/>
        <v>98304</v>
      </c>
      <c r="K105">
        <f t="shared" si="107"/>
        <v>1</v>
      </c>
      <c r="L105" s="1">
        <f t="shared" si="108"/>
        <v>0</v>
      </c>
      <c r="M105" s="1">
        <f t="shared" si="109"/>
        <v>8.3323160807291671E-2</v>
      </c>
      <c r="N105">
        <f t="shared" si="110"/>
        <v>24</v>
      </c>
      <c r="O105">
        <f t="shared" si="111"/>
        <v>16384</v>
      </c>
      <c r="P105">
        <f t="shared" si="100"/>
        <v>0</v>
      </c>
      <c r="Q105">
        <f t="shared" si="112"/>
        <v>0</v>
      </c>
      <c r="S105">
        <f t="shared" si="58"/>
        <v>0</v>
      </c>
    </row>
    <row r="106" spans="4:30" x14ac:dyDescent="0.2">
      <c r="D106">
        <f t="shared" ref="D106" si="117">I106/13</f>
        <v>2</v>
      </c>
      <c r="E106" s="1">
        <f t="shared" si="114"/>
        <v>3.1746031746031746E-3</v>
      </c>
      <c r="F106">
        <f>$E$20/I106</f>
        <v>157.5</v>
      </c>
      <c r="G106">
        <f t="shared" si="106"/>
        <v>106496</v>
      </c>
      <c r="H106">
        <f t="shared" si="95"/>
        <v>8192</v>
      </c>
      <c r="I106">
        <v>26</v>
      </c>
      <c r="J106">
        <f t="shared" si="81"/>
        <v>106496</v>
      </c>
      <c r="K106">
        <f t="shared" si="107"/>
        <v>1</v>
      </c>
      <c r="L106" s="1">
        <f t="shared" si="108"/>
        <v>0</v>
      </c>
      <c r="M106" s="1">
        <f t="shared" si="109"/>
        <v>7.6913686899038464E-2</v>
      </c>
      <c r="N106">
        <f t="shared" si="110"/>
        <v>26</v>
      </c>
      <c r="O106">
        <f t="shared" si="111"/>
        <v>4096</v>
      </c>
      <c r="P106">
        <f t="shared" si="100"/>
        <v>0</v>
      </c>
      <c r="Q106">
        <f t="shared" si="112"/>
        <v>0</v>
      </c>
      <c r="S106">
        <f t="shared" si="58"/>
        <v>0</v>
      </c>
    </row>
    <row r="107" spans="4:30" x14ac:dyDescent="0.2">
      <c r="D107">
        <f t="shared" ref="D107" si="118">I107/7</f>
        <v>4</v>
      </c>
      <c r="E107" s="1">
        <f t="shared" si="114"/>
        <v>1.7094017094017094E-3</v>
      </c>
      <c r="F107">
        <f>$E$21/I107</f>
        <v>146.25</v>
      </c>
      <c r="G107">
        <f t="shared" si="106"/>
        <v>114688</v>
      </c>
      <c r="H107">
        <f t="shared" si="95"/>
        <v>8192</v>
      </c>
      <c r="I107">
        <v>28</v>
      </c>
      <c r="J107">
        <f t="shared" si="81"/>
        <v>114688</v>
      </c>
      <c r="K107">
        <f t="shared" si="107"/>
        <v>1</v>
      </c>
      <c r="L107" s="1">
        <f t="shared" si="108"/>
        <v>0</v>
      </c>
      <c r="M107" s="1">
        <f t="shared" si="109"/>
        <v>7.1419852120535712E-2</v>
      </c>
      <c r="N107">
        <f t="shared" si="110"/>
        <v>28</v>
      </c>
      <c r="O107">
        <f t="shared" si="111"/>
        <v>8192</v>
      </c>
      <c r="P107">
        <f t="shared" si="100"/>
        <v>0</v>
      </c>
      <c r="Q107">
        <f t="shared" si="112"/>
        <v>0</v>
      </c>
      <c r="S107">
        <f t="shared" si="58"/>
        <v>0</v>
      </c>
    </row>
    <row r="108" spans="4:30" x14ac:dyDescent="0.2">
      <c r="D108">
        <f t="shared" ref="D108" si="119">I108/15</f>
        <v>2</v>
      </c>
      <c r="E108" s="1">
        <f t="shared" si="114"/>
        <v>3.663003663003663E-3</v>
      </c>
      <c r="F108">
        <f>$E$22/I108</f>
        <v>136.5</v>
      </c>
      <c r="G108">
        <f t="shared" si="106"/>
        <v>122880</v>
      </c>
      <c r="H108">
        <f t="shared" si="95"/>
        <v>8192</v>
      </c>
      <c r="I108">
        <v>30</v>
      </c>
      <c r="J108">
        <f t="shared" si="81"/>
        <v>122880</v>
      </c>
      <c r="K108">
        <f t="shared" si="107"/>
        <v>1</v>
      </c>
      <c r="L108" s="1">
        <f t="shared" si="108"/>
        <v>0</v>
      </c>
      <c r="M108" s="1">
        <f t="shared" si="109"/>
        <v>6.665852864583334E-2</v>
      </c>
      <c r="N108">
        <f t="shared" si="110"/>
        <v>30</v>
      </c>
      <c r="O108">
        <f t="shared" si="111"/>
        <v>4096</v>
      </c>
      <c r="P108">
        <f t="shared" si="100"/>
        <v>0</v>
      </c>
      <c r="Q108">
        <f t="shared" si="112"/>
        <v>0</v>
      </c>
      <c r="S108">
        <f t="shared" si="58"/>
        <v>0</v>
      </c>
    </row>
    <row r="109" spans="4:30" x14ac:dyDescent="0.2">
      <c r="D109">
        <f t="shared" ref="D109" si="120">I109</f>
        <v>32</v>
      </c>
      <c r="E109" s="1">
        <f t="shared" si="114"/>
        <v>7.0852675299291476E-3</v>
      </c>
      <c r="F109">
        <f t="shared" ref="F109" si="121">$E$15/I109</f>
        <v>127.90625</v>
      </c>
      <c r="G109">
        <f t="shared" si="106"/>
        <v>131072</v>
      </c>
      <c r="H109">
        <f t="shared" si="95"/>
        <v>8192</v>
      </c>
      <c r="I109">
        <v>32</v>
      </c>
      <c r="J109">
        <f t="shared" si="81"/>
        <v>131072</v>
      </c>
      <c r="K109">
        <f t="shared" si="107"/>
        <v>1</v>
      </c>
      <c r="L109" s="1">
        <f t="shared" si="108"/>
        <v>0</v>
      </c>
      <c r="M109" s="1">
        <f t="shared" si="109"/>
        <v>6.249237060546875E-2</v>
      </c>
      <c r="N109">
        <f t="shared" si="110"/>
        <v>32</v>
      </c>
      <c r="O109">
        <f t="shared" si="111"/>
        <v>131072</v>
      </c>
      <c r="P109">
        <f t="shared" si="100"/>
        <v>0</v>
      </c>
      <c r="Q109">
        <f>P109/I109</f>
        <v>0</v>
      </c>
      <c r="S109">
        <f t="shared" si="58"/>
        <v>0</v>
      </c>
    </row>
    <row r="110" spans="4:30" x14ac:dyDescent="0.2">
      <c r="D110">
        <f t="shared" ref="D110" si="122">I110/9</f>
        <v>4</v>
      </c>
      <c r="E110" s="1">
        <f t="shared" si="114"/>
        <v>6.5934065934065934E-3</v>
      </c>
      <c r="F110">
        <f>$E$16/I110</f>
        <v>113.75</v>
      </c>
      <c r="G110">
        <f t="shared" ref="G110:G117" si="123">G109+H110</f>
        <v>147456</v>
      </c>
      <c r="H110">
        <f>H102*2</f>
        <v>16384</v>
      </c>
      <c r="I110">
        <f>I102*2</f>
        <v>36</v>
      </c>
      <c r="J110">
        <f t="shared" si="81"/>
        <v>147456</v>
      </c>
      <c r="K110">
        <f t="shared" ref="K110:K117" si="124">FLOOR(J110/G110,1)</f>
        <v>1</v>
      </c>
      <c r="L110" s="1">
        <f t="shared" ref="L110:L117" si="125">(J110-K110*G110)/J110</f>
        <v>0</v>
      </c>
      <c r="M110" s="1">
        <f t="shared" ref="M110:M117" si="126">(G110-(G109+1))/(G110)</f>
        <v>0.11110432942708333</v>
      </c>
      <c r="N110">
        <f t="shared" ref="N110:N117" si="127">J110/4096</f>
        <v>36</v>
      </c>
      <c r="O110">
        <f t="shared" si="111"/>
        <v>8192</v>
      </c>
      <c r="P110">
        <f t="shared" si="100"/>
        <v>0</v>
      </c>
      <c r="Q110">
        <f t="shared" ref="Q110:Q116" si="128">P110/I110</f>
        <v>0</v>
      </c>
      <c r="S110">
        <f t="shared" si="58"/>
        <v>0</v>
      </c>
    </row>
    <row r="111" spans="4:30" x14ac:dyDescent="0.2">
      <c r="D111">
        <f t="shared" ref="D111" si="129">I111/5</f>
        <v>8</v>
      </c>
      <c r="E111" s="1">
        <f t="shared" si="114"/>
        <v>3.663003663003663E-3</v>
      </c>
      <c r="F111">
        <f>$E$17/I111</f>
        <v>102.375</v>
      </c>
      <c r="G111">
        <f t="shared" si="123"/>
        <v>163840</v>
      </c>
      <c r="H111">
        <f t="shared" si="95"/>
        <v>16384</v>
      </c>
      <c r="I111">
        <f t="shared" ref="I111:I140" si="130">I103*2</f>
        <v>40</v>
      </c>
      <c r="J111">
        <f t="shared" si="81"/>
        <v>163840</v>
      </c>
      <c r="K111">
        <f t="shared" si="124"/>
        <v>1</v>
      </c>
      <c r="L111" s="1">
        <f t="shared" si="125"/>
        <v>0</v>
      </c>
      <c r="M111" s="1">
        <f t="shared" si="126"/>
        <v>9.9993896484374997E-2</v>
      </c>
      <c r="N111">
        <f t="shared" si="127"/>
        <v>40</v>
      </c>
      <c r="O111">
        <f t="shared" si="111"/>
        <v>16384</v>
      </c>
      <c r="P111">
        <f t="shared" si="100"/>
        <v>0</v>
      </c>
      <c r="Q111">
        <f t="shared" si="128"/>
        <v>0</v>
      </c>
      <c r="S111">
        <f t="shared" si="58"/>
        <v>0</v>
      </c>
    </row>
    <row r="112" spans="4:30" x14ac:dyDescent="0.2">
      <c r="D112">
        <f t="shared" ref="D112" si="131">I112/11</f>
        <v>4</v>
      </c>
      <c r="E112" s="1">
        <f t="shared" si="114"/>
        <v>0</v>
      </c>
      <c r="F112">
        <f>$E$18/I112</f>
        <v>93</v>
      </c>
      <c r="G112">
        <f t="shared" si="123"/>
        <v>180224</v>
      </c>
      <c r="H112">
        <f t="shared" si="95"/>
        <v>16384</v>
      </c>
      <c r="I112">
        <f t="shared" si="130"/>
        <v>44</v>
      </c>
      <c r="J112">
        <f t="shared" si="81"/>
        <v>180224</v>
      </c>
      <c r="K112">
        <f t="shared" si="124"/>
        <v>1</v>
      </c>
      <c r="L112" s="1">
        <f t="shared" si="125"/>
        <v>0</v>
      </c>
      <c r="M112" s="1">
        <f t="shared" si="126"/>
        <v>9.0903542258522721E-2</v>
      </c>
      <c r="N112">
        <f t="shared" si="127"/>
        <v>44</v>
      </c>
      <c r="O112">
        <f t="shared" si="111"/>
        <v>8192</v>
      </c>
      <c r="P112">
        <f t="shared" si="100"/>
        <v>0</v>
      </c>
      <c r="Q112">
        <f t="shared" si="128"/>
        <v>0</v>
      </c>
      <c r="S112">
        <f t="shared" si="58"/>
        <v>0</v>
      </c>
      <c r="AC112" s="1"/>
      <c r="AD112" s="1"/>
    </row>
    <row r="113" spans="4:36" x14ac:dyDescent="0.2">
      <c r="D113">
        <f t="shared" ref="D113" si="132">I113/3</f>
        <v>16</v>
      </c>
      <c r="E113" s="1">
        <f t="shared" si="114"/>
        <v>3.663003663003663E-3</v>
      </c>
      <c r="F113">
        <f>$E$19/I113</f>
        <v>85.3125</v>
      </c>
      <c r="G113">
        <f t="shared" si="123"/>
        <v>196608</v>
      </c>
      <c r="H113">
        <f t="shared" si="95"/>
        <v>16384</v>
      </c>
      <c r="I113">
        <f t="shared" si="130"/>
        <v>48</v>
      </c>
      <c r="J113">
        <f t="shared" si="81"/>
        <v>196608</v>
      </c>
      <c r="K113">
        <f t="shared" si="124"/>
        <v>1</v>
      </c>
      <c r="L113" s="1">
        <f t="shared" si="125"/>
        <v>0</v>
      </c>
      <c r="M113" s="1">
        <f t="shared" si="126"/>
        <v>8.33282470703125E-2</v>
      </c>
      <c r="N113">
        <f t="shared" si="127"/>
        <v>48</v>
      </c>
      <c r="O113">
        <f t="shared" si="111"/>
        <v>32768</v>
      </c>
      <c r="P113">
        <f t="shared" si="100"/>
        <v>0</v>
      </c>
      <c r="Q113">
        <f t="shared" si="128"/>
        <v>0</v>
      </c>
      <c r="S113">
        <f t="shared" si="58"/>
        <v>0</v>
      </c>
      <c r="Z113">
        <f>COUNTIF(I4:I124,1) + COUNTIF(I4:I124,2) + COUNTIF(I4:I124,4) +COUNTIF(I4:I124,8) +COUNTIF(I4:I124,16)+COUNTIF(I4:I124,32)+COUNTIF(I4:I124,64)</f>
        <v>20</v>
      </c>
      <c r="AC113" s="1"/>
      <c r="AD113" s="1"/>
    </row>
    <row r="114" spans="4:36" x14ac:dyDescent="0.2">
      <c r="D114">
        <f t="shared" ref="D114" si="133">I114/13</f>
        <v>4</v>
      </c>
      <c r="E114" s="1">
        <f t="shared" si="114"/>
        <v>9.5238095238095247E-3</v>
      </c>
      <c r="F114">
        <f>$E$20/I114</f>
        <v>78.75</v>
      </c>
      <c r="G114">
        <f t="shared" si="123"/>
        <v>212992</v>
      </c>
      <c r="H114">
        <f t="shared" si="95"/>
        <v>16384</v>
      </c>
      <c r="I114">
        <f t="shared" si="130"/>
        <v>52</v>
      </c>
      <c r="J114">
        <f t="shared" si="81"/>
        <v>212992</v>
      </c>
      <c r="K114">
        <f t="shared" si="124"/>
        <v>1</v>
      </c>
      <c r="L114" s="1">
        <f t="shared" si="125"/>
        <v>0</v>
      </c>
      <c r="M114" s="1">
        <f t="shared" si="126"/>
        <v>7.6918381911057696E-2</v>
      </c>
      <c r="N114">
        <f t="shared" si="127"/>
        <v>52</v>
      </c>
      <c r="O114">
        <f t="shared" si="111"/>
        <v>8192</v>
      </c>
      <c r="P114">
        <f t="shared" si="100"/>
        <v>0</v>
      </c>
      <c r="Q114">
        <f t="shared" si="128"/>
        <v>0</v>
      </c>
      <c r="S114">
        <f t="shared" si="58"/>
        <v>0</v>
      </c>
      <c r="X114">
        <f>COUNT(G13:G124)</f>
        <v>112</v>
      </c>
      <c r="AA114">
        <f>X114*4096</f>
        <v>458752</v>
      </c>
      <c r="AC114" s="1"/>
      <c r="AD114" s="1"/>
      <c r="AE114">
        <f>SUM(N6:N124)*4096</f>
        <v>8380416</v>
      </c>
      <c r="AJ114">
        <f>SUM(S4:S124)</f>
        <v>254205</v>
      </c>
    </row>
    <row r="115" spans="4:36" x14ac:dyDescent="0.2">
      <c r="D115">
        <f t="shared" ref="D115" si="134">I115/7</f>
        <v>8</v>
      </c>
      <c r="E115" s="1">
        <f t="shared" si="114"/>
        <v>1.7094017094017094E-3</v>
      </c>
      <c r="F115">
        <f>$E$21/I115</f>
        <v>73.125</v>
      </c>
      <c r="G115">
        <f t="shared" si="123"/>
        <v>229376</v>
      </c>
      <c r="H115">
        <f t="shared" si="95"/>
        <v>16384</v>
      </c>
      <c r="I115">
        <f t="shared" si="130"/>
        <v>56</v>
      </c>
      <c r="J115">
        <f t="shared" si="81"/>
        <v>229376</v>
      </c>
      <c r="K115">
        <f t="shared" si="124"/>
        <v>1</v>
      </c>
      <c r="L115" s="1">
        <f t="shared" si="125"/>
        <v>0</v>
      </c>
      <c r="M115" s="1">
        <f t="shared" si="126"/>
        <v>7.1424211774553575E-2</v>
      </c>
      <c r="N115">
        <f t="shared" si="127"/>
        <v>56</v>
      </c>
      <c r="O115">
        <f t="shared" si="111"/>
        <v>16384</v>
      </c>
      <c r="P115">
        <f t="shared" si="100"/>
        <v>0</v>
      </c>
      <c r="Q115">
        <f t="shared" si="128"/>
        <v>0</v>
      </c>
      <c r="S115">
        <f t="shared" si="58"/>
        <v>0</v>
      </c>
      <c r="AC115" s="1"/>
      <c r="AD115" s="1"/>
      <c r="AE115">
        <f>AE114/4096</f>
        <v>2046</v>
      </c>
      <c r="AJ115">
        <f>AJ114/4096</f>
        <v>62.061767578125</v>
      </c>
    </row>
    <row r="116" spans="4:36" x14ac:dyDescent="0.2">
      <c r="D116">
        <f t="shared" ref="D116" si="135">I116/15</f>
        <v>4</v>
      </c>
      <c r="E116" s="1">
        <f t="shared" si="114"/>
        <v>3.663003663003663E-3</v>
      </c>
      <c r="F116">
        <f>$E$22/I116</f>
        <v>68.25</v>
      </c>
      <c r="G116">
        <f t="shared" si="123"/>
        <v>245760</v>
      </c>
      <c r="H116">
        <f t="shared" si="95"/>
        <v>16384</v>
      </c>
      <c r="I116">
        <f t="shared" si="130"/>
        <v>60</v>
      </c>
      <c r="J116">
        <f t="shared" si="81"/>
        <v>245760</v>
      </c>
      <c r="K116">
        <f t="shared" si="124"/>
        <v>1</v>
      </c>
      <c r="L116" s="1">
        <f t="shared" si="125"/>
        <v>0</v>
      </c>
      <c r="M116" s="1">
        <f t="shared" si="126"/>
        <v>6.6662597656250003E-2</v>
      </c>
      <c r="N116">
        <f t="shared" si="127"/>
        <v>60</v>
      </c>
      <c r="O116">
        <f t="shared" si="111"/>
        <v>8192</v>
      </c>
      <c r="P116">
        <f t="shared" si="100"/>
        <v>0</v>
      </c>
      <c r="Q116">
        <f t="shared" si="128"/>
        <v>0</v>
      </c>
      <c r="S116">
        <f t="shared" si="58"/>
        <v>0</v>
      </c>
      <c r="X116">
        <f>X114/8</f>
        <v>14</v>
      </c>
      <c r="AC116" s="1"/>
      <c r="AD116" s="1"/>
    </row>
    <row r="117" spans="4:36" x14ac:dyDescent="0.2">
      <c r="D117">
        <f t="shared" ref="D117" si="136">I117</f>
        <v>64</v>
      </c>
      <c r="E117" s="1">
        <f t="shared" si="114"/>
        <v>1.4903493769850965E-2</v>
      </c>
      <c r="F117">
        <f t="shared" ref="F117" si="137">$E$15/I117</f>
        <v>63.953125</v>
      </c>
      <c r="G117">
        <f t="shared" si="123"/>
        <v>262144</v>
      </c>
      <c r="H117">
        <f t="shared" si="95"/>
        <v>16384</v>
      </c>
      <c r="I117">
        <f t="shared" si="130"/>
        <v>64</v>
      </c>
      <c r="J117">
        <f t="shared" si="81"/>
        <v>262144</v>
      </c>
      <c r="K117">
        <f t="shared" si="124"/>
        <v>1</v>
      </c>
      <c r="L117" s="1">
        <f t="shared" si="125"/>
        <v>0</v>
      </c>
      <c r="M117" s="1">
        <f t="shared" si="126"/>
        <v>6.2496185302734375E-2</v>
      </c>
      <c r="N117">
        <f t="shared" si="127"/>
        <v>64</v>
      </c>
      <c r="O117">
        <f t="shared" si="111"/>
        <v>262144</v>
      </c>
      <c r="P117">
        <f t="shared" si="100"/>
        <v>0</v>
      </c>
      <c r="Q117">
        <f>P117/I117</f>
        <v>0</v>
      </c>
      <c r="S117">
        <f t="shared" si="58"/>
        <v>0</v>
      </c>
      <c r="AC117" s="1"/>
      <c r="AD117" s="1"/>
    </row>
    <row r="118" spans="4:36" x14ac:dyDescent="0.2">
      <c r="D118">
        <f t="shared" ref="D118" si="138">I118/9</f>
        <v>8</v>
      </c>
      <c r="E118" s="1">
        <f t="shared" si="114"/>
        <v>1.5384615384615385E-2</v>
      </c>
      <c r="F118">
        <f>$E$16/I118</f>
        <v>56.875</v>
      </c>
      <c r="G118">
        <f t="shared" ref="G118:G125" si="139">G117+H118</f>
        <v>294912</v>
      </c>
      <c r="H118">
        <f>H110*2</f>
        <v>32768</v>
      </c>
      <c r="I118">
        <f>I110*2</f>
        <v>72</v>
      </c>
      <c r="J118">
        <f t="shared" si="81"/>
        <v>294912</v>
      </c>
      <c r="K118">
        <f t="shared" ref="K118:K125" si="140">FLOOR(J118/G118,1)</f>
        <v>1</v>
      </c>
      <c r="L118" s="1">
        <f t="shared" ref="L118:L125" si="141">(J118-K118*G118)/J118</f>
        <v>0</v>
      </c>
      <c r="M118" s="1">
        <f t="shared" ref="M118:M125" si="142">(G118-(G117+1))/(G118)</f>
        <v>0.11110772026909722</v>
      </c>
      <c r="N118">
        <f t="shared" ref="N118:N125" si="143">J118/4096</f>
        <v>72</v>
      </c>
      <c r="O118">
        <f t="shared" si="111"/>
        <v>16384</v>
      </c>
      <c r="P118">
        <f t="shared" si="100"/>
        <v>0</v>
      </c>
      <c r="Q118">
        <f t="shared" ref="Q118:Q125" si="144">P118/I118</f>
        <v>0</v>
      </c>
      <c r="S118">
        <f t="shared" si="58"/>
        <v>0</v>
      </c>
      <c r="AC118" s="1"/>
      <c r="AD118" s="1"/>
    </row>
    <row r="119" spans="4:36" x14ac:dyDescent="0.2">
      <c r="D119">
        <f t="shared" ref="D119" si="145">I119/5</f>
        <v>16</v>
      </c>
      <c r="E119" s="1">
        <f t="shared" si="114"/>
        <v>3.663003663003663E-3</v>
      </c>
      <c r="F119">
        <f>$E$17/I119</f>
        <v>51.1875</v>
      </c>
      <c r="G119">
        <f t="shared" si="139"/>
        <v>327680</v>
      </c>
      <c r="H119">
        <f t="shared" si="95"/>
        <v>32768</v>
      </c>
      <c r="I119">
        <f t="shared" si="130"/>
        <v>80</v>
      </c>
      <c r="J119">
        <f t="shared" si="81"/>
        <v>327680</v>
      </c>
      <c r="K119">
        <f t="shared" si="140"/>
        <v>1</v>
      </c>
      <c r="L119" s="1">
        <f t="shared" si="141"/>
        <v>0</v>
      </c>
      <c r="M119" s="1">
        <f t="shared" si="142"/>
        <v>9.9996948242187494E-2</v>
      </c>
      <c r="N119">
        <f t="shared" si="143"/>
        <v>80</v>
      </c>
      <c r="O119">
        <f t="shared" si="111"/>
        <v>32768</v>
      </c>
      <c r="P119">
        <f t="shared" si="100"/>
        <v>0</v>
      </c>
      <c r="Q119">
        <f t="shared" si="144"/>
        <v>0</v>
      </c>
      <c r="S119">
        <f t="shared" si="58"/>
        <v>0</v>
      </c>
      <c r="AC119" s="1"/>
      <c r="AD119" s="1"/>
    </row>
    <row r="120" spans="4:36" x14ac:dyDescent="0.2">
      <c r="D120">
        <f t="shared" ref="D120" si="146">I120/11</f>
        <v>8</v>
      </c>
      <c r="E120" s="1">
        <f t="shared" si="114"/>
        <v>1.0752688172043012E-2</v>
      </c>
      <c r="F120">
        <f>$E$18/I120</f>
        <v>46.5</v>
      </c>
      <c r="G120">
        <f t="shared" si="139"/>
        <v>360448</v>
      </c>
      <c r="H120">
        <f t="shared" si="95"/>
        <v>32768</v>
      </c>
      <c r="I120">
        <f t="shared" si="130"/>
        <v>88</v>
      </c>
      <c r="J120">
        <f t="shared" si="81"/>
        <v>360448</v>
      </c>
      <c r="K120">
        <f t="shared" si="140"/>
        <v>1</v>
      </c>
      <c r="L120" s="1">
        <f t="shared" si="141"/>
        <v>0</v>
      </c>
      <c r="M120" s="1">
        <f t="shared" si="142"/>
        <v>9.0906316583806823E-2</v>
      </c>
      <c r="N120">
        <f t="shared" si="143"/>
        <v>88</v>
      </c>
      <c r="O120">
        <f t="shared" si="111"/>
        <v>16384</v>
      </c>
      <c r="P120">
        <f t="shared" si="100"/>
        <v>0</v>
      </c>
      <c r="Q120">
        <f t="shared" si="144"/>
        <v>0</v>
      </c>
      <c r="S120">
        <f t="shared" si="58"/>
        <v>0</v>
      </c>
      <c r="AC120" s="1"/>
      <c r="AD120" s="1"/>
    </row>
    <row r="121" spans="4:36" x14ac:dyDescent="0.2">
      <c r="D121">
        <f t="shared" ref="D121" si="147">I121/3</f>
        <v>32</v>
      </c>
      <c r="E121" s="1">
        <f t="shared" si="114"/>
        <v>1.5384615384615385E-2</v>
      </c>
      <c r="F121">
        <f>$E$19/I121</f>
        <v>42.65625</v>
      </c>
      <c r="G121">
        <f t="shared" si="139"/>
        <v>393216</v>
      </c>
      <c r="H121">
        <f t="shared" si="95"/>
        <v>32768</v>
      </c>
      <c r="I121">
        <f t="shared" si="130"/>
        <v>96</v>
      </c>
      <c r="J121">
        <f t="shared" si="81"/>
        <v>393216</v>
      </c>
      <c r="K121">
        <f t="shared" si="140"/>
        <v>1</v>
      </c>
      <c r="L121" s="1">
        <f t="shared" si="141"/>
        <v>0</v>
      </c>
      <c r="M121" s="1">
        <f t="shared" si="142"/>
        <v>8.3330790201822921E-2</v>
      </c>
      <c r="N121">
        <f t="shared" si="143"/>
        <v>96</v>
      </c>
      <c r="O121">
        <f t="shared" si="111"/>
        <v>65536</v>
      </c>
      <c r="P121">
        <f t="shared" si="100"/>
        <v>0</v>
      </c>
      <c r="Q121">
        <f t="shared" si="144"/>
        <v>0</v>
      </c>
      <c r="S121">
        <f t="shared" si="58"/>
        <v>0</v>
      </c>
      <c r="AC121" s="1"/>
      <c r="AD121" s="1"/>
    </row>
    <row r="122" spans="4:36" x14ac:dyDescent="0.2">
      <c r="D122">
        <f t="shared" ref="D122" si="148">I122/13</f>
        <v>8</v>
      </c>
      <c r="E122" s="1">
        <f t="shared" si="114"/>
        <v>9.5238095238095247E-3</v>
      </c>
      <c r="F122">
        <f>$E$20/I122</f>
        <v>39.375</v>
      </c>
      <c r="G122">
        <f t="shared" si="139"/>
        <v>425984</v>
      </c>
      <c r="H122">
        <f t="shared" si="95"/>
        <v>32768</v>
      </c>
      <c r="I122">
        <f t="shared" si="130"/>
        <v>104</v>
      </c>
      <c r="J122">
        <f t="shared" si="81"/>
        <v>425984</v>
      </c>
      <c r="K122">
        <f t="shared" si="140"/>
        <v>1</v>
      </c>
      <c r="L122" s="1">
        <f t="shared" si="141"/>
        <v>0</v>
      </c>
      <c r="M122" s="1">
        <f t="shared" si="142"/>
        <v>7.6920729417067304E-2</v>
      </c>
      <c r="N122">
        <f t="shared" si="143"/>
        <v>104</v>
      </c>
      <c r="O122">
        <f t="shared" si="111"/>
        <v>16384</v>
      </c>
      <c r="P122">
        <f t="shared" si="100"/>
        <v>0</v>
      </c>
      <c r="Q122">
        <f t="shared" si="144"/>
        <v>0</v>
      </c>
      <c r="S122">
        <f t="shared" si="58"/>
        <v>0</v>
      </c>
      <c r="AC122" s="1"/>
      <c r="AD122" s="1"/>
    </row>
    <row r="123" spans="4:36" x14ac:dyDescent="0.2">
      <c r="D123">
        <f t="shared" ref="D123" si="149">I123/7</f>
        <v>16</v>
      </c>
      <c r="E123" s="1">
        <f t="shared" si="114"/>
        <v>1.5384615384615385E-2</v>
      </c>
      <c r="F123">
        <f>$E$21/I123</f>
        <v>36.5625</v>
      </c>
      <c r="G123">
        <f t="shared" si="139"/>
        <v>458752</v>
      </c>
      <c r="H123">
        <f t="shared" si="95"/>
        <v>32768</v>
      </c>
      <c r="I123">
        <f t="shared" si="130"/>
        <v>112</v>
      </c>
      <c r="J123">
        <f t="shared" si="81"/>
        <v>458752</v>
      </c>
      <c r="K123">
        <f t="shared" si="140"/>
        <v>1</v>
      </c>
      <c r="L123" s="1">
        <f t="shared" si="141"/>
        <v>0</v>
      </c>
      <c r="M123" s="1">
        <f t="shared" si="142"/>
        <v>7.14263916015625E-2</v>
      </c>
      <c r="N123">
        <f t="shared" si="143"/>
        <v>112</v>
      </c>
      <c r="O123">
        <f t="shared" si="111"/>
        <v>32768</v>
      </c>
      <c r="P123">
        <f t="shared" si="100"/>
        <v>0</v>
      </c>
      <c r="Q123">
        <f t="shared" si="144"/>
        <v>0</v>
      </c>
      <c r="S123">
        <f t="shared" si="58"/>
        <v>0</v>
      </c>
      <c r="AC123" s="1"/>
      <c r="AD123" s="1"/>
    </row>
    <row r="124" spans="4:36" x14ac:dyDescent="0.2">
      <c r="D124">
        <f t="shared" ref="D124" si="150">I124/15</f>
        <v>8</v>
      </c>
      <c r="E124" s="1">
        <f t="shared" si="114"/>
        <v>3.663003663003663E-3</v>
      </c>
      <c r="F124">
        <f t="shared" ref="F124" si="151">$E$22/I124</f>
        <v>34.125</v>
      </c>
      <c r="G124">
        <f t="shared" si="139"/>
        <v>491520</v>
      </c>
      <c r="H124">
        <f t="shared" si="95"/>
        <v>32768</v>
      </c>
      <c r="I124">
        <f t="shared" si="130"/>
        <v>120</v>
      </c>
      <c r="J124">
        <f t="shared" si="81"/>
        <v>491520</v>
      </c>
      <c r="K124">
        <f t="shared" si="140"/>
        <v>1</v>
      </c>
      <c r="L124" s="1">
        <f t="shared" si="141"/>
        <v>0</v>
      </c>
      <c r="M124" s="1">
        <f t="shared" si="142"/>
        <v>6.6664632161458334E-2</v>
      </c>
      <c r="N124">
        <f t="shared" si="143"/>
        <v>120</v>
      </c>
      <c r="O124">
        <f t="shared" si="111"/>
        <v>16384</v>
      </c>
      <c r="P124">
        <f t="shared" si="100"/>
        <v>0</v>
      </c>
      <c r="Q124">
        <f t="shared" si="144"/>
        <v>0</v>
      </c>
      <c r="S124">
        <f t="shared" si="58"/>
        <v>0</v>
      </c>
      <c r="AC124" s="1"/>
      <c r="AD124" s="1"/>
    </row>
    <row r="125" spans="4:36" x14ac:dyDescent="0.2">
      <c r="D125">
        <f t="shared" ref="D125:D133" si="152">I125</f>
        <v>128</v>
      </c>
      <c r="E125" s="1">
        <f t="shared" ref="E125:E133" si="153">(F125 - FLOOR(F125,1))/F125</f>
        <v>3.05399462496946E-2</v>
      </c>
      <c r="F125">
        <f t="shared" ref="F125:F133" si="154">$E$15/I125</f>
        <v>31.9765625</v>
      </c>
      <c r="G125">
        <f t="shared" si="139"/>
        <v>524288</v>
      </c>
      <c r="H125">
        <f t="shared" si="95"/>
        <v>32768</v>
      </c>
      <c r="I125">
        <f t="shared" si="130"/>
        <v>128</v>
      </c>
      <c r="J125">
        <f t="shared" ref="J125:J133" si="155">4096*I125</f>
        <v>524288</v>
      </c>
      <c r="K125">
        <f t="shared" si="140"/>
        <v>1</v>
      </c>
      <c r="L125" s="1">
        <f t="shared" si="141"/>
        <v>0</v>
      </c>
      <c r="M125" s="1">
        <f t="shared" si="142"/>
        <v>6.2498092651367188E-2</v>
      </c>
      <c r="N125">
        <f t="shared" si="143"/>
        <v>128</v>
      </c>
      <c r="O125">
        <f t="shared" si="111"/>
        <v>524288</v>
      </c>
      <c r="P125">
        <f t="shared" ref="P125:P133" si="156">J125-G125*K125</f>
        <v>0</v>
      </c>
      <c r="Q125">
        <f t="shared" si="144"/>
        <v>0</v>
      </c>
      <c r="S125">
        <f t="shared" ref="S125:S133" si="157">FLOOR((G125 + 4095)/4096, 1)*4096 - G125</f>
        <v>0</v>
      </c>
      <c r="AC125" s="1"/>
      <c r="AD125" s="1"/>
    </row>
    <row r="126" spans="4:36" x14ac:dyDescent="0.2">
      <c r="D126">
        <f t="shared" ref="D126:D133" si="158">I126/9</f>
        <v>16</v>
      </c>
      <c r="E126" s="1">
        <f t="shared" si="153"/>
        <v>1.5384615384615385E-2</v>
      </c>
      <c r="F126">
        <f t="shared" ref="F126:F133" si="159">$E$16/I126</f>
        <v>28.4375</v>
      </c>
      <c r="G126">
        <f t="shared" ref="G126:G133" si="160">G125+H126</f>
        <v>589824</v>
      </c>
      <c r="H126">
        <f t="shared" ref="H126" si="161">H118*2</f>
        <v>65536</v>
      </c>
      <c r="I126">
        <f t="shared" si="130"/>
        <v>144</v>
      </c>
      <c r="J126">
        <f t="shared" si="155"/>
        <v>589824</v>
      </c>
      <c r="K126">
        <f t="shared" ref="K126:K133" si="162">FLOOR(J126/G126,1)</f>
        <v>1</v>
      </c>
      <c r="L126" s="1">
        <f t="shared" ref="L126:L133" si="163">(J126-K126*G126)/J126</f>
        <v>0</v>
      </c>
      <c r="M126" s="1">
        <f t="shared" ref="M126:M133" si="164">(G126-(G125+1))/(G126)</f>
        <v>0.11110941569010417</v>
      </c>
      <c r="N126">
        <f t="shared" ref="N126:N133" si="165">J126/4096</f>
        <v>144</v>
      </c>
      <c r="O126">
        <f t="shared" si="111"/>
        <v>32768</v>
      </c>
      <c r="P126">
        <f t="shared" si="156"/>
        <v>0</v>
      </c>
      <c r="Q126">
        <f t="shared" ref="Q126:Q133" si="166">P126/I126</f>
        <v>0</v>
      </c>
      <c r="S126">
        <f t="shared" si="157"/>
        <v>0</v>
      </c>
      <c r="AC126" s="1"/>
      <c r="AD126" s="1"/>
    </row>
    <row r="127" spans="4:36" x14ac:dyDescent="0.2">
      <c r="D127">
        <f t="shared" ref="D127:D133" si="167">I127/5</f>
        <v>32</v>
      </c>
      <c r="E127" s="1">
        <f t="shared" si="153"/>
        <v>2.31990231990232E-2</v>
      </c>
      <c r="F127">
        <f t="shared" ref="F127:F133" si="168">$E$17/I127</f>
        <v>25.59375</v>
      </c>
      <c r="G127">
        <f t="shared" si="160"/>
        <v>655360</v>
      </c>
      <c r="H127">
        <f t="shared" si="95"/>
        <v>65536</v>
      </c>
      <c r="I127">
        <f t="shared" si="130"/>
        <v>160</v>
      </c>
      <c r="J127">
        <f t="shared" si="155"/>
        <v>655360</v>
      </c>
      <c r="K127">
        <f t="shared" si="162"/>
        <v>1</v>
      </c>
      <c r="L127" s="1">
        <f t="shared" si="163"/>
        <v>0</v>
      </c>
      <c r="M127" s="1">
        <f t="shared" si="164"/>
        <v>9.999847412109375E-2</v>
      </c>
      <c r="N127">
        <f t="shared" si="165"/>
        <v>160</v>
      </c>
      <c r="O127">
        <f t="shared" si="111"/>
        <v>65536</v>
      </c>
      <c r="P127">
        <f t="shared" si="156"/>
        <v>0</v>
      </c>
      <c r="Q127">
        <f t="shared" si="166"/>
        <v>0</v>
      </c>
      <c r="S127">
        <f t="shared" si="157"/>
        <v>0</v>
      </c>
      <c r="AC127" s="1"/>
      <c r="AD127" s="1"/>
    </row>
    <row r="128" spans="4:36" x14ac:dyDescent="0.2">
      <c r="D128">
        <f t="shared" ref="D128:D133" si="169">I128/11</f>
        <v>16</v>
      </c>
      <c r="E128" s="1">
        <f t="shared" si="153"/>
        <v>1.0752688172043012E-2</v>
      </c>
      <c r="F128">
        <f t="shared" ref="F128:F133" si="170">$E$18/I128</f>
        <v>23.25</v>
      </c>
      <c r="G128">
        <f t="shared" si="160"/>
        <v>720896</v>
      </c>
      <c r="H128">
        <f t="shared" si="95"/>
        <v>65536</v>
      </c>
      <c r="I128">
        <f t="shared" si="130"/>
        <v>176</v>
      </c>
      <c r="J128">
        <f t="shared" si="155"/>
        <v>720896</v>
      </c>
      <c r="K128">
        <f t="shared" si="162"/>
        <v>1</v>
      </c>
      <c r="L128" s="1">
        <f t="shared" si="163"/>
        <v>0</v>
      </c>
      <c r="M128" s="1">
        <f t="shared" si="164"/>
        <v>9.0907703746448867E-2</v>
      </c>
      <c r="N128">
        <f t="shared" si="165"/>
        <v>176</v>
      </c>
      <c r="O128">
        <f t="shared" si="111"/>
        <v>32768</v>
      </c>
      <c r="P128">
        <f t="shared" si="156"/>
        <v>0</v>
      </c>
      <c r="Q128">
        <f t="shared" si="166"/>
        <v>0</v>
      </c>
      <c r="S128">
        <f t="shared" si="157"/>
        <v>0</v>
      </c>
      <c r="AC128" s="1"/>
      <c r="AD128" s="1"/>
    </row>
    <row r="129" spans="4:30" x14ac:dyDescent="0.2">
      <c r="D129">
        <f t="shared" ref="D129:D133" si="171">I129/3</f>
        <v>64</v>
      </c>
      <c r="E129" s="1">
        <f t="shared" si="153"/>
        <v>1.5384615384615385E-2</v>
      </c>
      <c r="F129">
        <f t="shared" ref="F129:F133" si="172">$E$19/I129</f>
        <v>21.328125</v>
      </c>
      <c r="G129">
        <f t="shared" si="160"/>
        <v>786432</v>
      </c>
      <c r="H129">
        <f t="shared" si="95"/>
        <v>65536</v>
      </c>
      <c r="I129">
        <f t="shared" si="130"/>
        <v>192</v>
      </c>
      <c r="J129">
        <f t="shared" si="155"/>
        <v>786432</v>
      </c>
      <c r="K129">
        <f t="shared" si="162"/>
        <v>1</v>
      </c>
      <c r="L129" s="1">
        <f t="shared" si="163"/>
        <v>0</v>
      </c>
      <c r="M129" s="1">
        <f t="shared" si="164"/>
        <v>8.3332061767578125E-2</v>
      </c>
      <c r="N129">
        <f t="shared" si="165"/>
        <v>192</v>
      </c>
      <c r="O129">
        <f t="shared" si="111"/>
        <v>131072</v>
      </c>
      <c r="P129">
        <f t="shared" si="156"/>
        <v>0</v>
      </c>
      <c r="Q129">
        <f t="shared" si="166"/>
        <v>0</v>
      </c>
      <c r="S129">
        <f t="shared" si="157"/>
        <v>0</v>
      </c>
      <c r="AC129" s="1"/>
      <c r="AD129" s="1"/>
    </row>
    <row r="130" spans="4:30" x14ac:dyDescent="0.2">
      <c r="D130">
        <f t="shared" ref="D130:D133" si="173">I130/13</f>
        <v>16</v>
      </c>
      <c r="E130" s="1">
        <f t="shared" si="153"/>
        <v>3.4920634920634921E-2</v>
      </c>
      <c r="F130">
        <f t="shared" ref="F130:F133" si="174">$E$20/I130</f>
        <v>19.6875</v>
      </c>
      <c r="G130">
        <f t="shared" si="160"/>
        <v>851968</v>
      </c>
      <c r="H130">
        <f t="shared" si="95"/>
        <v>65536</v>
      </c>
      <c r="I130">
        <f t="shared" si="130"/>
        <v>208</v>
      </c>
      <c r="J130">
        <f t="shared" si="155"/>
        <v>851968</v>
      </c>
      <c r="K130">
        <f t="shared" si="162"/>
        <v>1</v>
      </c>
      <c r="L130" s="1">
        <f t="shared" si="163"/>
        <v>0</v>
      </c>
      <c r="M130" s="1">
        <f t="shared" si="164"/>
        <v>7.6921903170072109E-2</v>
      </c>
      <c r="N130">
        <f t="shared" si="165"/>
        <v>208</v>
      </c>
      <c r="O130">
        <f t="shared" si="111"/>
        <v>32768</v>
      </c>
      <c r="P130">
        <f t="shared" si="156"/>
        <v>0</v>
      </c>
      <c r="Q130">
        <f t="shared" si="166"/>
        <v>0</v>
      </c>
      <c r="S130">
        <f t="shared" si="157"/>
        <v>0</v>
      </c>
      <c r="AC130" s="1"/>
      <c r="AD130" s="1"/>
    </row>
    <row r="131" spans="4:30" x14ac:dyDescent="0.2">
      <c r="D131">
        <f t="shared" ref="D131:D133" si="175">I131/7</f>
        <v>32</v>
      </c>
      <c r="E131" s="1">
        <f t="shared" si="153"/>
        <v>1.5384615384615385E-2</v>
      </c>
      <c r="F131">
        <f t="shared" ref="F131:F133" si="176">$E$21/I131</f>
        <v>18.28125</v>
      </c>
      <c r="G131">
        <f t="shared" si="160"/>
        <v>917504</v>
      </c>
      <c r="H131">
        <f t="shared" si="95"/>
        <v>65536</v>
      </c>
      <c r="I131">
        <f t="shared" si="130"/>
        <v>224</v>
      </c>
      <c r="J131">
        <f t="shared" si="155"/>
        <v>917504</v>
      </c>
      <c r="K131">
        <f t="shared" si="162"/>
        <v>1</v>
      </c>
      <c r="L131" s="1">
        <f t="shared" si="163"/>
        <v>0</v>
      </c>
      <c r="M131" s="1">
        <f t="shared" si="164"/>
        <v>7.1427481515066962E-2</v>
      </c>
      <c r="N131">
        <f t="shared" si="165"/>
        <v>224</v>
      </c>
      <c r="O131">
        <f t="shared" si="111"/>
        <v>65536</v>
      </c>
      <c r="P131">
        <f t="shared" si="156"/>
        <v>0</v>
      </c>
      <c r="Q131">
        <f t="shared" si="166"/>
        <v>0</v>
      </c>
      <c r="S131">
        <f t="shared" si="157"/>
        <v>0</v>
      </c>
      <c r="AC131" s="1"/>
      <c r="AD131" s="1"/>
    </row>
    <row r="132" spans="4:30" x14ac:dyDescent="0.2">
      <c r="D132">
        <f t="shared" ref="D132:D133" si="177">I132/15</f>
        <v>16</v>
      </c>
      <c r="E132" s="1">
        <f t="shared" si="153"/>
        <v>3.663003663003663E-3</v>
      </c>
      <c r="F132">
        <f t="shared" ref="F132:F133" si="178">$E$22/I132</f>
        <v>17.0625</v>
      </c>
      <c r="G132">
        <f t="shared" si="160"/>
        <v>983040</v>
      </c>
      <c r="H132">
        <f t="shared" si="95"/>
        <v>65536</v>
      </c>
      <c r="I132">
        <f t="shared" si="130"/>
        <v>240</v>
      </c>
      <c r="J132">
        <f t="shared" si="155"/>
        <v>983040</v>
      </c>
      <c r="K132">
        <f t="shared" si="162"/>
        <v>1</v>
      </c>
      <c r="L132" s="1">
        <f t="shared" si="163"/>
        <v>0</v>
      </c>
      <c r="M132" s="1">
        <f t="shared" si="164"/>
        <v>6.66656494140625E-2</v>
      </c>
      <c r="N132">
        <f t="shared" si="165"/>
        <v>240</v>
      </c>
      <c r="O132">
        <f t="shared" si="111"/>
        <v>32768</v>
      </c>
      <c r="P132">
        <f t="shared" si="156"/>
        <v>0</v>
      </c>
      <c r="Q132">
        <f t="shared" si="166"/>
        <v>0</v>
      </c>
      <c r="S132">
        <f t="shared" si="157"/>
        <v>0</v>
      </c>
      <c r="AC132" s="1"/>
      <c r="AD132" s="1"/>
    </row>
    <row r="133" spans="4:30" x14ac:dyDescent="0.2">
      <c r="D133">
        <f t="shared" ref="D133:D140" si="179">I133</f>
        <v>256</v>
      </c>
      <c r="E133" s="1">
        <f t="shared" ref="E133:E140" si="180">(F133 - FLOOR(F133,1))/F133</f>
        <v>6.1812851209381875E-2</v>
      </c>
      <c r="F133">
        <f t="shared" ref="F133:F140" si="181">$E$15/I133</f>
        <v>15.98828125</v>
      </c>
      <c r="G133">
        <f t="shared" si="160"/>
        <v>1048576</v>
      </c>
      <c r="H133">
        <f t="shared" si="95"/>
        <v>65536</v>
      </c>
      <c r="I133">
        <f t="shared" si="130"/>
        <v>256</v>
      </c>
      <c r="J133">
        <f t="shared" ref="J133:J140" si="182">4096*I133</f>
        <v>1048576</v>
      </c>
      <c r="K133">
        <f t="shared" si="162"/>
        <v>1</v>
      </c>
      <c r="L133" s="1">
        <f t="shared" si="163"/>
        <v>0</v>
      </c>
      <c r="M133" s="1">
        <f t="shared" si="164"/>
        <v>6.2499046325683594E-2</v>
      </c>
      <c r="N133">
        <f t="shared" si="165"/>
        <v>256</v>
      </c>
      <c r="O133">
        <f t="shared" si="111"/>
        <v>1048576</v>
      </c>
      <c r="P133">
        <f t="shared" ref="P133:P140" si="183">J133-G133*K133</f>
        <v>0</v>
      </c>
      <c r="Q133">
        <f t="shared" si="166"/>
        <v>0</v>
      </c>
      <c r="S133">
        <f t="shared" ref="S133:S140" si="184">FLOOR((G133 + 4095)/4096, 1)*4096 - G133</f>
        <v>0</v>
      </c>
      <c r="AC133" s="1"/>
      <c r="AD133" s="1"/>
    </row>
    <row r="134" spans="4:30" x14ac:dyDescent="0.2">
      <c r="D134">
        <f t="shared" ref="D134:D140" si="185">I134/9</f>
        <v>32</v>
      </c>
      <c r="E134" s="1">
        <f t="shared" si="180"/>
        <v>1.5384615384615385E-2</v>
      </c>
      <c r="F134">
        <f t="shared" ref="F134:F140" si="186">$E$16/I134</f>
        <v>14.21875</v>
      </c>
      <c r="G134">
        <f t="shared" ref="G134:G140" si="187">G133+H134</f>
        <v>1179648</v>
      </c>
      <c r="H134">
        <f t="shared" ref="H134" si="188">H126*2</f>
        <v>131072</v>
      </c>
      <c r="I134">
        <f t="shared" si="130"/>
        <v>288</v>
      </c>
      <c r="J134">
        <f t="shared" si="182"/>
        <v>1179648</v>
      </c>
      <c r="K134">
        <f t="shared" ref="K134:K140" si="189">FLOOR(J134/G134,1)</f>
        <v>1</v>
      </c>
      <c r="L134" s="1">
        <f t="shared" ref="L134:L140" si="190">(J134-K134*G134)/J134</f>
        <v>0</v>
      </c>
      <c r="M134" s="1">
        <f t="shared" ref="M134:M140" si="191">(G134-(G133+1))/(G134)</f>
        <v>0.11111026340060765</v>
      </c>
      <c r="N134">
        <f t="shared" ref="N134:N140" si="192">J134/4096</f>
        <v>288</v>
      </c>
      <c r="O134">
        <f t="shared" si="111"/>
        <v>65536</v>
      </c>
      <c r="P134">
        <f t="shared" si="183"/>
        <v>0</v>
      </c>
      <c r="Q134">
        <f t="shared" ref="Q134:Q140" si="193">P134/I134</f>
        <v>0</v>
      </c>
      <c r="S134">
        <f t="shared" si="184"/>
        <v>0</v>
      </c>
      <c r="AC134" s="1"/>
      <c r="AD134" s="1"/>
    </row>
    <row r="135" spans="4:30" x14ac:dyDescent="0.2">
      <c r="D135">
        <f t="shared" ref="D135:D140" si="194">I135/5</f>
        <v>64</v>
      </c>
      <c r="E135" s="1">
        <f t="shared" si="180"/>
        <v>6.2271062271062272E-2</v>
      </c>
      <c r="F135">
        <f t="shared" ref="F135:F140" si="195">$E$17/I135</f>
        <v>12.796875</v>
      </c>
      <c r="G135">
        <f t="shared" si="187"/>
        <v>1310720</v>
      </c>
      <c r="H135">
        <f t="shared" si="95"/>
        <v>131072</v>
      </c>
      <c r="I135">
        <f t="shared" si="130"/>
        <v>320</v>
      </c>
      <c r="J135">
        <f t="shared" si="182"/>
        <v>1310720</v>
      </c>
      <c r="K135">
        <f t="shared" si="189"/>
        <v>1</v>
      </c>
      <c r="L135" s="1">
        <f t="shared" si="190"/>
        <v>0</v>
      </c>
      <c r="M135" s="1">
        <f t="shared" si="191"/>
        <v>9.9999237060546878E-2</v>
      </c>
      <c r="N135">
        <f t="shared" si="192"/>
        <v>320</v>
      </c>
      <c r="O135">
        <f t="shared" si="111"/>
        <v>131072</v>
      </c>
      <c r="P135">
        <f t="shared" si="183"/>
        <v>0</v>
      </c>
      <c r="Q135">
        <f t="shared" si="193"/>
        <v>0</v>
      </c>
      <c r="S135">
        <f t="shared" si="184"/>
        <v>0</v>
      </c>
      <c r="AC135" s="1"/>
      <c r="AD135" s="1"/>
    </row>
    <row r="136" spans="4:30" x14ac:dyDescent="0.2">
      <c r="D136">
        <f t="shared" ref="D136:D140" si="196">I136/11</f>
        <v>32</v>
      </c>
      <c r="E136" s="1">
        <f t="shared" si="180"/>
        <v>5.3763440860215055E-2</v>
      </c>
      <c r="F136">
        <f t="shared" ref="F136:F140" si="197">$E$18/I136</f>
        <v>11.625</v>
      </c>
      <c r="G136">
        <f t="shared" si="187"/>
        <v>1441792</v>
      </c>
      <c r="H136">
        <f t="shared" si="95"/>
        <v>131072</v>
      </c>
      <c r="I136">
        <f t="shared" si="130"/>
        <v>352</v>
      </c>
      <c r="J136">
        <f t="shared" si="182"/>
        <v>1441792</v>
      </c>
      <c r="K136">
        <f t="shared" si="189"/>
        <v>1</v>
      </c>
      <c r="L136" s="1">
        <f t="shared" si="190"/>
        <v>0</v>
      </c>
      <c r="M136" s="1">
        <f t="shared" si="191"/>
        <v>9.0908397327769883E-2</v>
      </c>
      <c r="N136">
        <f t="shared" si="192"/>
        <v>352</v>
      </c>
      <c r="O136">
        <f t="shared" si="111"/>
        <v>65536</v>
      </c>
      <c r="P136">
        <f t="shared" si="183"/>
        <v>0</v>
      </c>
      <c r="Q136">
        <f t="shared" si="193"/>
        <v>0</v>
      </c>
      <c r="S136">
        <f t="shared" si="184"/>
        <v>0</v>
      </c>
      <c r="AC136" s="1"/>
      <c r="AD136" s="1"/>
    </row>
    <row r="137" spans="4:30" x14ac:dyDescent="0.2">
      <c r="D137">
        <f t="shared" ref="D137:D140" si="198">I137/3</f>
        <v>128</v>
      </c>
      <c r="E137" s="1">
        <f t="shared" si="180"/>
        <v>6.2271062271062272E-2</v>
      </c>
      <c r="F137">
        <f t="shared" ref="F137:F140" si="199">$E$19/I137</f>
        <v>10.6640625</v>
      </c>
      <c r="G137">
        <f t="shared" si="187"/>
        <v>1572864</v>
      </c>
      <c r="H137">
        <f t="shared" si="95"/>
        <v>131072</v>
      </c>
      <c r="I137">
        <f t="shared" si="130"/>
        <v>384</v>
      </c>
      <c r="J137">
        <f t="shared" si="182"/>
        <v>1572864</v>
      </c>
      <c r="K137">
        <f t="shared" si="189"/>
        <v>1</v>
      </c>
      <c r="L137" s="1">
        <f t="shared" si="190"/>
        <v>0</v>
      </c>
      <c r="M137" s="1">
        <f t="shared" si="191"/>
        <v>8.3332697550455734E-2</v>
      </c>
      <c r="N137">
        <f t="shared" si="192"/>
        <v>384</v>
      </c>
      <c r="O137">
        <f t="shared" si="111"/>
        <v>262144</v>
      </c>
      <c r="P137">
        <f t="shared" si="183"/>
        <v>0</v>
      </c>
      <c r="Q137">
        <f t="shared" si="193"/>
        <v>0</v>
      </c>
      <c r="S137">
        <f t="shared" si="184"/>
        <v>0</v>
      </c>
      <c r="AC137" s="1"/>
      <c r="AD137" s="1"/>
    </row>
    <row r="138" spans="4:30" x14ac:dyDescent="0.2">
      <c r="D138">
        <f t="shared" ref="D138:D140" si="200">I138/13</f>
        <v>32</v>
      </c>
      <c r="E138" s="1">
        <f t="shared" si="180"/>
        <v>8.5714285714285715E-2</v>
      </c>
      <c r="F138">
        <f t="shared" ref="F138:F140" si="201">$E$20/I138</f>
        <v>9.84375</v>
      </c>
      <c r="G138">
        <f t="shared" si="187"/>
        <v>1703936</v>
      </c>
      <c r="H138">
        <f t="shared" si="95"/>
        <v>131072</v>
      </c>
      <c r="I138">
        <f t="shared" si="130"/>
        <v>416</v>
      </c>
      <c r="J138">
        <f t="shared" si="182"/>
        <v>1703936</v>
      </c>
      <c r="K138">
        <f t="shared" si="189"/>
        <v>1</v>
      </c>
      <c r="L138" s="1">
        <f t="shared" si="190"/>
        <v>0</v>
      </c>
      <c r="M138" s="1">
        <f t="shared" si="191"/>
        <v>7.6922490046574518E-2</v>
      </c>
      <c r="N138">
        <f t="shared" si="192"/>
        <v>416</v>
      </c>
      <c r="O138">
        <f t="shared" si="111"/>
        <v>65536</v>
      </c>
      <c r="P138">
        <f t="shared" si="183"/>
        <v>0</v>
      </c>
      <c r="Q138">
        <f t="shared" si="193"/>
        <v>0</v>
      </c>
      <c r="S138">
        <f t="shared" si="184"/>
        <v>0</v>
      </c>
      <c r="AC138" s="1"/>
      <c r="AD138" s="1"/>
    </row>
    <row r="139" spans="4:30" x14ac:dyDescent="0.2">
      <c r="D139">
        <f t="shared" ref="D139:D140" si="202">I139/7</f>
        <v>64</v>
      </c>
      <c r="E139" s="1">
        <f t="shared" si="180"/>
        <v>1.5384615384615385E-2</v>
      </c>
      <c r="F139">
        <f t="shared" ref="F139:F140" si="203">$E$21/I139</f>
        <v>9.140625</v>
      </c>
      <c r="G139">
        <f t="shared" si="187"/>
        <v>1835008</v>
      </c>
      <c r="H139">
        <f t="shared" si="95"/>
        <v>131072</v>
      </c>
      <c r="I139">
        <f t="shared" si="130"/>
        <v>448</v>
      </c>
      <c r="J139">
        <f t="shared" si="182"/>
        <v>1835008</v>
      </c>
      <c r="K139">
        <f t="shared" si="189"/>
        <v>1</v>
      </c>
      <c r="L139" s="1">
        <f t="shared" si="190"/>
        <v>0</v>
      </c>
      <c r="M139" s="1">
        <f t="shared" si="191"/>
        <v>7.14280264718192E-2</v>
      </c>
      <c r="N139">
        <f t="shared" si="192"/>
        <v>448</v>
      </c>
      <c r="O139">
        <f t="shared" si="111"/>
        <v>131072</v>
      </c>
      <c r="P139">
        <f t="shared" si="183"/>
        <v>0</v>
      </c>
      <c r="Q139">
        <f t="shared" si="193"/>
        <v>0</v>
      </c>
      <c r="S139">
        <f t="shared" si="184"/>
        <v>0</v>
      </c>
      <c r="AC139" s="1"/>
      <c r="AD139" s="1"/>
    </row>
    <row r="140" spans="4:30" x14ac:dyDescent="0.2">
      <c r="D140">
        <f t="shared" ref="D140" si="204">I140/15</f>
        <v>32</v>
      </c>
      <c r="E140" s="1">
        <f t="shared" si="180"/>
        <v>6.2271062271062272E-2</v>
      </c>
      <c r="F140">
        <f t="shared" ref="F140" si="205">$E$22/I140</f>
        <v>8.53125</v>
      </c>
      <c r="G140">
        <f t="shared" si="187"/>
        <v>1966080</v>
      </c>
      <c r="H140">
        <f t="shared" si="95"/>
        <v>131072</v>
      </c>
      <c r="I140">
        <f t="shared" si="130"/>
        <v>480</v>
      </c>
      <c r="J140">
        <f t="shared" si="182"/>
        <v>1966080</v>
      </c>
      <c r="K140">
        <f t="shared" si="189"/>
        <v>1</v>
      </c>
      <c r="L140" s="1">
        <f t="shared" si="190"/>
        <v>0</v>
      </c>
      <c r="M140" s="1">
        <f t="shared" si="191"/>
        <v>6.666615804036459E-2</v>
      </c>
      <c r="N140">
        <f t="shared" si="192"/>
        <v>480</v>
      </c>
      <c r="O140">
        <f t="shared" si="111"/>
        <v>65536</v>
      </c>
      <c r="P140">
        <f t="shared" si="183"/>
        <v>0</v>
      </c>
      <c r="Q140">
        <f t="shared" si="193"/>
        <v>0</v>
      </c>
      <c r="S140">
        <f t="shared" si="184"/>
        <v>0</v>
      </c>
      <c r="AC140" s="1"/>
      <c r="AD140" s="1"/>
    </row>
    <row r="141" spans="4:30" x14ac:dyDescent="0.2">
      <c r="E141" s="1"/>
      <c r="L141" s="1"/>
      <c r="M141" s="1"/>
      <c r="AC141" s="1"/>
      <c r="AD141" s="1"/>
    </row>
    <row r="142" spans="4:30" x14ac:dyDescent="0.2">
      <c r="E142" s="1"/>
      <c r="L142" s="1"/>
      <c r="M142" s="1"/>
      <c r="AC142" s="1"/>
      <c r="AD142" s="1"/>
    </row>
    <row r="143" spans="4:30" x14ac:dyDescent="0.2">
      <c r="E143" s="1"/>
      <c r="L143" s="1"/>
      <c r="M143" s="1"/>
      <c r="AC143" s="1"/>
      <c r="AD143" s="1"/>
    </row>
    <row r="144" spans="4:30" x14ac:dyDescent="0.2">
      <c r="E144" s="1"/>
      <c r="L144" s="1"/>
      <c r="M144" s="1"/>
      <c r="AC144" s="1"/>
      <c r="AD144" s="1"/>
    </row>
    <row r="145" spans="3:30" x14ac:dyDescent="0.2">
      <c r="E145" s="1"/>
      <c r="L145" s="1"/>
      <c r="M145" s="1"/>
      <c r="AC145" s="1"/>
      <c r="AD145" s="1"/>
    </row>
    <row r="146" spans="3:30" x14ac:dyDescent="0.2">
      <c r="E146" s="1"/>
      <c r="L146" s="1"/>
      <c r="M146" s="1"/>
      <c r="AC146" s="1"/>
      <c r="AD146" s="1"/>
    </row>
    <row r="147" spans="3:30" x14ac:dyDescent="0.2">
      <c r="E147" s="1"/>
      <c r="L147" s="1"/>
      <c r="M147" s="1"/>
      <c r="AC147" s="1"/>
      <c r="AD147" s="1"/>
    </row>
    <row r="148" spans="3:30" x14ac:dyDescent="0.2">
      <c r="E148" s="1"/>
      <c r="L148" s="1"/>
      <c r="M148" s="1"/>
      <c r="AC148" s="1"/>
      <c r="AD148" s="1"/>
    </row>
    <row r="149" spans="3:30" x14ac:dyDescent="0.2">
      <c r="E149" s="1"/>
      <c r="L149" s="1"/>
      <c r="M149" s="1"/>
      <c r="AC149" s="1"/>
      <c r="AD149" s="1"/>
    </row>
    <row r="150" spans="3:30" x14ac:dyDescent="0.2">
      <c r="E150" s="1"/>
      <c r="L150" s="1"/>
      <c r="M150" s="1"/>
      <c r="AC150" s="1"/>
      <c r="AD150" s="1"/>
    </row>
    <row r="151" spans="3:30" x14ac:dyDescent="0.2">
      <c r="E151" s="1"/>
      <c r="L151" s="1"/>
      <c r="M151" s="1"/>
      <c r="AC151" s="1"/>
      <c r="AD151" s="1"/>
    </row>
    <row r="152" spans="3:30" x14ac:dyDescent="0.2">
      <c r="E152" s="1"/>
      <c r="L152" s="1"/>
      <c r="M152" s="1"/>
      <c r="AC152" s="1"/>
      <c r="AD152" s="1"/>
    </row>
    <row r="153" spans="3:30" x14ac:dyDescent="0.2">
      <c r="E153" s="1"/>
      <c r="L153" s="1"/>
      <c r="M153" s="1"/>
      <c r="AC153" s="1"/>
      <c r="AD153" s="1"/>
    </row>
    <row r="154" spans="3:30" x14ac:dyDescent="0.2">
      <c r="E154" s="1"/>
      <c r="L154" s="1"/>
      <c r="M154" s="1"/>
      <c r="AC154" s="1"/>
      <c r="AD154" s="1"/>
    </row>
    <row r="155" spans="3:30" x14ac:dyDescent="0.2">
      <c r="E155" s="1"/>
      <c r="L155" s="1"/>
      <c r="M155" s="1"/>
    </row>
    <row r="156" spans="3:30" x14ac:dyDescent="0.2">
      <c r="C156" t="s">
        <v>8</v>
      </c>
      <c r="E156" s="1"/>
      <c r="L156" s="1"/>
      <c r="M156" s="1">
        <f>MAX(M13:M140)</f>
        <v>0.11111026340060765</v>
      </c>
    </row>
    <row r="157" spans="3:30" x14ac:dyDescent="0.2">
      <c r="C157" t="s">
        <v>9</v>
      </c>
      <c r="E157" s="1"/>
      <c r="L157" s="1"/>
      <c r="M157" s="1">
        <f>AVERAGE(M13:M140)</f>
        <v>8.0513821991497744E-2</v>
      </c>
    </row>
    <row r="158" spans="3:30" x14ac:dyDescent="0.2">
      <c r="E158" s="1"/>
      <c r="L158" s="1"/>
      <c r="M158" s="1"/>
    </row>
    <row r="159" spans="3:30" x14ac:dyDescent="0.2">
      <c r="E159" s="1"/>
      <c r="L159" s="1"/>
      <c r="M159" s="1"/>
    </row>
    <row r="160" spans="3:30" x14ac:dyDescent="0.2">
      <c r="E160" s="1"/>
      <c r="L160" s="1"/>
      <c r="M160" s="1"/>
    </row>
    <row r="161" spans="5:13" x14ac:dyDescent="0.2">
      <c r="E161" s="1"/>
      <c r="L161" s="1"/>
      <c r="M161" s="1"/>
    </row>
    <row r="162" spans="5:13" x14ac:dyDescent="0.2">
      <c r="E162" s="1"/>
      <c r="L162" s="1"/>
      <c r="M162" s="1"/>
    </row>
    <row r="163" spans="5:13" x14ac:dyDescent="0.2">
      <c r="E163" s="1"/>
      <c r="L163" s="1"/>
      <c r="M163" s="1"/>
    </row>
    <row r="164" spans="5:13" x14ac:dyDescent="0.2">
      <c r="E164" s="1"/>
      <c r="L164" s="1"/>
      <c r="M164" s="1"/>
    </row>
    <row r="165" spans="5:13" x14ac:dyDescent="0.2">
      <c r="E165" s="1"/>
      <c r="L165" s="1"/>
      <c r="M165" s="1"/>
    </row>
    <row r="166" spans="5:13" x14ac:dyDescent="0.2">
      <c r="E166" s="1"/>
      <c r="L166" s="1"/>
      <c r="M166" s="1"/>
    </row>
    <row r="167" spans="5:13" x14ac:dyDescent="0.2">
      <c r="E167" s="1"/>
      <c r="L167" s="1"/>
      <c r="M167" s="1"/>
    </row>
    <row r="168" spans="5:13" x14ac:dyDescent="0.2">
      <c r="E168" s="1"/>
      <c r="L168" s="1"/>
      <c r="M168" s="1"/>
    </row>
    <row r="169" spans="5:13" x14ac:dyDescent="0.2">
      <c r="E169" s="1"/>
      <c r="L169" s="1"/>
      <c r="M169" s="1"/>
    </row>
    <row r="170" spans="5:13" x14ac:dyDescent="0.2">
      <c r="E170" s="1"/>
      <c r="L170" s="1"/>
      <c r="M170" s="1"/>
    </row>
    <row r="171" spans="5:13" x14ac:dyDescent="0.2">
      <c r="E171" s="1"/>
      <c r="L171" s="1"/>
      <c r="M171" s="1"/>
    </row>
    <row r="172" spans="5:13" x14ac:dyDescent="0.2">
      <c r="E172" s="1"/>
      <c r="L172" s="1"/>
      <c r="M172" s="1"/>
    </row>
    <row r="173" spans="5:13" x14ac:dyDescent="0.2">
      <c r="E173" s="1"/>
      <c r="L173" s="1"/>
      <c r="M173" s="1"/>
    </row>
    <row r="174" spans="5:13" x14ac:dyDescent="0.2">
      <c r="E174" s="1"/>
      <c r="L174" s="1"/>
      <c r="M174" s="1"/>
    </row>
    <row r="175" spans="5:13" x14ac:dyDescent="0.2">
      <c r="E175" s="1"/>
      <c r="L175" s="1"/>
      <c r="M175" s="1"/>
    </row>
    <row r="176" spans="5:13" x14ac:dyDescent="0.2">
      <c r="E176" s="1"/>
      <c r="L176" s="1"/>
      <c r="M176" s="1"/>
    </row>
    <row r="177" spans="5:13" x14ac:dyDescent="0.2">
      <c r="E177" s="1"/>
      <c r="L177" s="1"/>
      <c r="M177" s="1"/>
    </row>
    <row r="178" spans="5:13" x14ac:dyDescent="0.2">
      <c r="E178" s="1"/>
      <c r="L178" s="1"/>
      <c r="M178" s="1"/>
    </row>
    <row r="179" spans="5:13" x14ac:dyDescent="0.2">
      <c r="E179" s="1"/>
      <c r="L179" s="1"/>
      <c r="M179" s="1"/>
    </row>
    <row r="180" spans="5:13" x14ac:dyDescent="0.2">
      <c r="E180" s="1"/>
      <c r="L180" s="1"/>
      <c r="M180" s="1"/>
    </row>
    <row r="181" spans="5:13" x14ac:dyDescent="0.2">
      <c r="E181" s="1"/>
      <c r="L181" s="1"/>
      <c r="M181" s="1"/>
    </row>
    <row r="182" spans="5:13" x14ac:dyDescent="0.2">
      <c r="E182" s="1"/>
      <c r="L182" s="1"/>
      <c r="M182" s="1"/>
    </row>
    <row r="183" spans="5:13" x14ac:dyDescent="0.2">
      <c r="E183" s="1"/>
      <c r="L183" s="1"/>
      <c r="M183" s="1"/>
    </row>
    <row r="184" spans="5:13" x14ac:dyDescent="0.2">
      <c r="E184" s="1"/>
      <c r="L184" s="1"/>
      <c r="M184" s="1"/>
    </row>
    <row r="185" spans="5:13" x14ac:dyDescent="0.2">
      <c r="E185" s="1"/>
      <c r="L185" s="1"/>
      <c r="M185" s="1"/>
    </row>
    <row r="186" spans="5:13" x14ac:dyDescent="0.2">
      <c r="E186" s="1"/>
      <c r="L186" s="1"/>
      <c r="M186" s="1"/>
    </row>
    <row r="187" spans="5:13" x14ac:dyDescent="0.2">
      <c r="E187" s="1"/>
      <c r="L187" s="1"/>
      <c r="M187" s="1"/>
    </row>
    <row r="188" spans="5:13" x14ac:dyDescent="0.2">
      <c r="E188" s="1"/>
      <c r="L188" s="1"/>
      <c r="M188" s="1"/>
    </row>
    <row r="189" spans="5:13" x14ac:dyDescent="0.2">
      <c r="E189" s="1"/>
      <c r="L189" s="1"/>
      <c r="M189" s="1"/>
    </row>
    <row r="190" spans="5:13" x14ac:dyDescent="0.2">
      <c r="E190" s="1"/>
      <c r="L190" s="1"/>
      <c r="M190" s="1"/>
    </row>
    <row r="191" spans="5:13" x14ac:dyDescent="0.2">
      <c r="E191" s="1"/>
      <c r="L191" s="1"/>
      <c r="M191" s="1"/>
    </row>
    <row r="192" spans="5:13" x14ac:dyDescent="0.2">
      <c r="E192" s="1"/>
      <c r="L192" s="1"/>
      <c r="M192" s="1"/>
    </row>
    <row r="193" spans="5:13" x14ac:dyDescent="0.2">
      <c r="E193" s="1"/>
      <c r="L193" s="1"/>
      <c r="M193" s="1"/>
    </row>
    <row r="194" spans="5:13" x14ac:dyDescent="0.2">
      <c r="E194" s="1"/>
      <c r="L194" s="1"/>
      <c r="M194" s="1"/>
    </row>
    <row r="195" spans="5:13" x14ac:dyDescent="0.2">
      <c r="E195" s="1"/>
      <c r="L195" s="1"/>
      <c r="M195" s="1"/>
    </row>
    <row r="196" spans="5:13" x14ac:dyDescent="0.2">
      <c r="E196" s="1"/>
      <c r="L196" s="1"/>
      <c r="M196" s="1"/>
    </row>
    <row r="197" spans="5:13" x14ac:dyDescent="0.2">
      <c r="E197" s="1"/>
      <c r="L197" s="1"/>
      <c r="M197" s="1"/>
    </row>
    <row r="198" spans="5:13" x14ac:dyDescent="0.2">
      <c r="E198" s="1"/>
      <c r="L198" s="1"/>
      <c r="M198" s="1"/>
    </row>
    <row r="199" spans="5:13" x14ac:dyDescent="0.2">
      <c r="E199" s="1"/>
      <c r="L199" s="1"/>
      <c r="M199" s="1"/>
    </row>
    <row r="200" spans="5:13" x14ac:dyDescent="0.2">
      <c r="E200" s="1"/>
      <c r="L200" s="1"/>
      <c r="M200" s="1"/>
    </row>
    <row r="201" spans="5:13" x14ac:dyDescent="0.2">
      <c r="E201" s="1"/>
      <c r="L201" s="1"/>
      <c r="M201" s="1"/>
    </row>
    <row r="202" spans="5:13" x14ac:dyDescent="0.2">
      <c r="E202" s="1"/>
      <c r="L202" s="1"/>
      <c r="M202" s="1"/>
    </row>
    <row r="203" spans="5:13" x14ac:dyDescent="0.2">
      <c r="E203" s="1"/>
      <c r="L203" s="1"/>
      <c r="M203" s="1"/>
    </row>
    <row r="204" spans="5:13" x14ac:dyDescent="0.2">
      <c r="E204" s="1"/>
      <c r="L204" s="1"/>
      <c r="M204" s="1"/>
    </row>
    <row r="205" spans="5:13" x14ac:dyDescent="0.2">
      <c r="E205" s="1"/>
      <c r="L205" s="1"/>
      <c r="M205" s="1"/>
    </row>
    <row r="206" spans="5:13" x14ac:dyDescent="0.2">
      <c r="E206" s="1"/>
      <c r="L206" s="1"/>
      <c r="M206" s="1"/>
    </row>
    <row r="207" spans="5:13" x14ac:dyDescent="0.2">
      <c r="E207" s="1"/>
      <c r="L207" s="1"/>
      <c r="M207" s="1"/>
    </row>
    <row r="208" spans="5:13" x14ac:dyDescent="0.2">
      <c r="E208" s="1"/>
      <c r="L208" s="1"/>
      <c r="M208" s="1"/>
    </row>
    <row r="209" spans="5:13" x14ac:dyDescent="0.2">
      <c r="E209" s="1"/>
      <c r="L209" s="1"/>
      <c r="M209" s="1"/>
    </row>
    <row r="210" spans="5:13" x14ac:dyDescent="0.2">
      <c r="E210" s="1"/>
      <c r="L210" s="1"/>
      <c r="M210" s="1"/>
    </row>
    <row r="211" spans="5:13" x14ac:dyDescent="0.2">
      <c r="E211" s="1"/>
      <c r="L211" s="1"/>
      <c r="M211" s="1"/>
    </row>
    <row r="212" spans="5:13" x14ac:dyDescent="0.2">
      <c r="E212" s="1"/>
      <c r="L212" s="1"/>
      <c r="M212" s="1"/>
    </row>
    <row r="213" spans="5:13" x14ac:dyDescent="0.2">
      <c r="E213" s="1"/>
      <c r="L213" s="1"/>
      <c r="M213" s="1"/>
    </row>
    <row r="214" spans="5:13" x14ac:dyDescent="0.2">
      <c r="E214" s="1"/>
      <c r="L214" s="1"/>
      <c r="M214" s="1"/>
    </row>
    <row r="215" spans="5:13" x14ac:dyDescent="0.2">
      <c r="E215" s="1"/>
      <c r="L215" s="1"/>
      <c r="M215" s="1"/>
    </row>
    <row r="216" spans="5:13" x14ac:dyDescent="0.2">
      <c r="E216" s="1"/>
      <c r="L216" s="1"/>
      <c r="M216" s="1"/>
    </row>
    <row r="217" spans="5:13" x14ac:dyDescent="0.2">
      <c r="E217" s="1"/>
      <c r="L217" s="1"/>
      <c r="M217" s="1"/>
    </row>
    <row r="218" spans="5:13" x14ac:dyDescent="0.2">
      <c r="E218" s="1"/>
      <c r="L218" s="1"/>
      <c r="M218" s="1"/>
    </row>
    <row r="219" spans="5:13" x14ac:dyDescent="0.2">
      <c r="E219" s="1"/>
      <c r="L219" s="1"/>
      <c r="M219" s="1"/>
    </row>
    <row r="220" spans="5:13" x14ac:dyDescent="0.2">
      <c r="E220" s="1"/>
      <c r="L220" s="1"/>
      <c r="M220" s="1"/>
    </row>
    <row r="221" spans="5:13" x14ac:dyDescent="0.2">
      <c r="E221" s="1"/>
      <c r="L221" s="1"/>
      <c r="M221" s="1"/>
    </row>
    <row r="222" spans="5:13" x14ac:dyDescent="0.2">
      <c r="E222" s="1"/>
      <c r="L222" s="1"/>
      <c r="M222" s="1"/>
    </row>
    <row r="223" spans="5:13" x14ac:dyDescent="0.2">
      <c r="E223" s="1"/>
      <c r="L223" s="1"/>
      <c r="M223" s="1"/>
    </row>
    <row r="224" spans="5:13" x14ac:dyDescent="0.2">
      <c r="E224" s="1"/>
      <c r="L224" s="1"/>
      <c r="M224" s="1"/>
    </row>
    <row r="225" spans="5:13" x14ac:dyDescent="0.2">
      <c r="E225" s="1"/>
      <c r="L225" s="1"/>
      <c r="M225" s="1"/>
    </row>
    <row r="226" spans="5:13" x14ac:dyDescent="0.2">
      <c r="E226" s="1"/>
      <c r="L226" s="1"/>
      <c r="M226" s="1"/>
    </row>
    <row r="227" spans="5:13" x14ac:dyDescent="0.2">
      <c r="E227" s="1"/>
      <c r="L227" s="1"/>
      <c r="M227" s="1"/>
    </row>
    <row r="228" spans="5:13" x14ac:dyDescent="0.2">
      <c r="E228" s="1"/>
      <c r="L228" s="1"/>
      <c r="M228" s="1"/>
    </row>
    <row r="229" spans="5:13" x14ac:dyDescent="0.2">
      <c r="E229" s="1"/>
      <c r="L229" s="1"/>
      <c r="M229" s="1"/>
    </row>
    <row r="230" spans="5:13" x14ac:dyDescent="0.2">
      <c r="E230" s="1"/>
      <c r="L230" s="1"/>
      <c r="M230" s="1"/>
    </row>
    <row r="231" spans="5:13" x14ac:dyDescent="0.2">
      <c r="E231" s="1"/>
      <c r="L231" s="1"/>
      <c r="M231" s="1"/>
    </row>
    <row r="232" spans="5:13" x14ac:dyDescent="0.2">
      <c r="E232" s="1"/>
      <c r="L232" s="1"/>
      <c r="M232" s="1"/>
    </row>
    <row r="233" spans="5:13" x14ac:dyDescent="0.2">
      <c r="E233" s="1"/>
      <c r="L233" s="1"/>
      <c r="M233" s="1"/>
    </row>
    <row r="234" spans="5:13" x14ac:dyDescent="0.2">
      <c r="E234" s="1"/>
      <c r="L234" s="1"/>
      <c r="M234" s="1"/>
    </row>
    <row r="235" spans="5:13" x14ac:dyDescent="0.2">
      <c r="E235" s="1"/>
      <c r="L235" s="1"/>
      <c r="M235" s="1"/>
    </row>
    <row r="236" spans="5:13" x14ac:dyDescent="0.2">
      <c r="E236" s="1"/>
      <c r="L236" s="1"/>
      <c r="M236" s="1"/>
    </row>
    <row r="237" spans="5:13" x14ac:dyDescent="0.2">
      <c r="E237" s="1"/>
      <c r="L237" s="1"/>
      <c r="M237" s="1"/>
    </row>
    <row r="238" spans="5:13" x14ac:dyDescent="0.2">
      <c r="E238" s="1"/>
      <c r="L238" s="1"/>
      <c r="M238" s="1"/>
    </row>
    <row r="239" spans="5:13" x14ac:dyDescent="0.2">
      <c r="E239" s="1"/>
      <c r="L239" s="1"/>
      <c r="M239" s="1"/>
    </row>
    <row r="240" spans="5:13" x14ac:dyDescent="0.2">
      <c r="E240" s="1"/>
      <c r="L240" s="1"/>
      <c r="M240" s="1"/>
    </row>
    <row r="241" spans="5:13" x14ac:dyDescent="0.2">
      <c r="E241" s="1"/>
      <c r="L241" s="1"/>
      <c r="M241" s="1"/>
    </row>
    <row r="242" spans="5:13" x14ac:dyDescent="0.2">
      <c r="E242" s="1"/>
      <c r="L242" s="1"/>
      <c r="M242" s="1"/>
    </row>
    <row r="243" spans="5:13" x14ac:dyDescent="0.2">
      <c r="E243" s="1"/>
      <c r="L243" s="1"/>
      <c r="M243" s="1"/>
    </row>
    <row r="244" spans="5:13" x14ac:dyDescent="0.2">
      <c r="E244" s="1"/>
      <c r="L244" s="1"/>
      <c r="M244" s="1"/>
    </row>
    <row r="245" spans="5:13" x14ac:dyDescent="0.2">
      <c r="E245" s="1"/>
      <c r="L245" s="1"/>
      <c r="M245" s="1"/>
    </row>
    <row r="246" spans="5:13" x14ac:dyDescent="0.2">
      <c r="E246" s="1"/>
      <c r="L246" s="1"/>
      <c r="M246" s="1"/>
    </row>
    <row r="247" spans="5:13" x14ac:dyDescent="0.2">
      <c r="E247" s="1"/>
      <c r="L247" s="1"/>
      <c r="M247" s="1"/>
    </row>
    <row r="248" spans="5:13" x14ac:dyDescent="0.2">
      <c r="E248" s="1"/>
      <c r="L248" s="1"/>
      <c r="M248" s="1"/>
    </row>
    <row r="249" spans="5:13" x14ac:dyDescent="0.2">
      <c r="E249" s="1"/>
      <c r="L249" s="1"/>
      <c r="M249" s="1"/>
    </row>
    <row r="250" spans="5:13" x14ac:dyDescent="0.2">
      <c r="E250" s="1"/>
      <c r="L250" s="1"/>
      <c r="M250" s="1"/>
    </row>
    <row r="251" spans="5:13" x14ac:dyDescent="0.2">
      <c r="E251" s="1"/>
      <c r="L251" s="1"/>
      <c r="M251" s="1"/>
    </row>
    <row r="252" spans="5:13" x14ac:dyDescent="0.2">
      <c r="E252" s="1"/>
      <c r="L252" s="1"/>
      <c r="M252" s="1"/>
    </row>
    <row r="253" spans="5:13" x14ac:dyDescent="0.2">
      <c r="E253" s="1"/>
      <c r="L253" s="1"/>
      <c r="M253" s="1"/>
    </row>
    <row r="254" spans="5:13" x14ac:dyDescent="0.2">
      <c r="E254" s="1"/>
      <c r="L254" s="1"/>
      <c r="M254" s="1"/>
    </row>
    <row r="255" spans="5:13" x14ac:dyDescent="0.2">
      <c r="E255" s="1"/>
      <c r="L255" s="1"/>
      <c r="M255" s="1"/>
    </row>
    <row r="256" spans="5:13" x14ac:dyDescent="0.2">
      <c r="E256" s="1"/>
      <c r="L256" s="1"/>
      <c r="M256" s="1"/>
    </row>
    <row r="257" spans="5:13" x14ac:dyDescent="0.2">
      <c r="E257" s="1"/>
      <c r="L257" s="1"/>
      <c r="M257" s="1"/>
    </row>
    <row r="258" spans="5:13" x14ac:dyDescent="0.2">
      <c r="E258" s="1"/>
      <c r="L258" s="1"/>
      <c r="M258" s="1"/>
    </row>
    <row r="259" spans="5:13" x14ac:dyDescent="0.2">
      <c r="E259" s="1"/>
      <c r="L259" s="1"/>
      <c r="M259" s="1"/>
    </row>
    <row r="260" spans="5:13" x14ac:dyDescent="0.2">
      <c r="E260" s="1"/>
      <c r="L260" s="1"/>
      <c r="M260" s="1"/>
    </row>
    <row r="261" spans="5:13" x14ac:dyDescent="0.2">
      <c r="E261" s="1"/>
      <c r="L261" s="1"/>
      <c r="M261" s="1"/>
    </row>
    <row r="262" spans="5:13" x14ac:dyDescent="0.2">
      <c r="E262" s="1"/>
      <c r="L262" s="1"/>
      <c r="M262" s="1"/>
    </row>
    <row r="263" spans="5:13" x14ac:dyDescent="0.2">
      <c r="E263" s="1"/>
      <c r="L263" s="1"/>
      <c r="M263" s="1"/>
    </row>
    <row r="264" spans="5:13" x14ac:dyDescent="0.2">
      <c r="E264" s="1"/>
      <c r="L264" s="1"/>
      <c r="M264" s="1"/>
    </row>
    <row r="265" spans="5:13" x14ac:dyDescent="0.2">
      <c r="E265" s="1"/>
      <c r="L265" s="1"/>
      <c r="M265" s="1"/>
    </row>
    <row r="266" spans="5:13" x14ac:dyDescent="0.2">
      <c r="E266" s="1"/>
      <c r="L266" s="1"/>
      <c r="M266" s="1"/>
    </row>
    <row r="267" spans="5:13" x14ac:dyDescent="0.2">
      <c r="E267" s="1"/>
      <c r="L267" s="1"/>
      <c r="M267" s="1"/>
    </row>
    <row r="268" spans="5:13" x14ac:dyDescent="0.2">
      <c r="E268" s="1"/>
      <c r="L268" s="1"/>
      <c r="M268" s="1"/>
    </row>
    <row r="269" spans="5:13" x14ac:dyDescent="0.2">
      <c r="E269" s="1"/>
      <c r="L269" s="1"/>
      <c r="M269" s="1"/>
    </row>
    <row r="270" spans="5:13" x14ac:dyDescent="0.2">
      <c r="E270" s="1"/>
      <c r="L270" s="1"/>
      <c r="M270" s="1"/>
    </row>
    <row r="271" spans="5:13" x14ac:dyDescent="0.2">
      <c r="E271" s="1"/>
      <c r="L271" s="1"/>
      <c r="M271" s="1"/>
    </row>
    <row r="272" spans="5:13" x14ac:dyDescent="0.2">
      <c r="E272" s="1"/>
      <c r="L272" s="1"/>
      <c r="M272" s="1"/>
    </row>
    <row r="273" spans="5:13" x14ac:dyDescent="0.2">
      <c r="E273" s="1"/>
      <c r="L273" s="1"/>
      <c r="M273" s="1"/>
    </row>
    <row r="274" spans="5:13" x14ac:dyDescent="0.2">
      <c r="E274" s="1"/>
      <c r="L274" s="1"/>
      <c r="M274" s="1"/>
    </row>
    <row r="275" spans="5:13" x14ac:dyDescent="0.2">
      <c r="E275" s="1"/>
      <c r="L275" s="1"/>
      <c r="M275" s="1"/>
    </row>
    <row r="276" spans="5:13" x14ac:dyDescent="0.2">
      <c r="E276" s="1"/>
      <c r="L276" s="1"/>
      <c r="M276" s="1"/>
    </row>
    <row r="277" spans="5:13" x14ac:dyDescent="0.2">
      <c r="E277" s="1"/>
      <c r="L277" s="1"/>
      <c r="M277" s="1"/>
    </row>
    <row r="278" spans="5:13" x14ac:dyDescent="0.2">
      <c r="E278" s="1"/>
      <c r="L278" s="1"/>
      <c r="M278" s="1"/>
    </row>
    <row r="279" spans="5:13" x14ac:dyDescent="0.2">
      <c r="E279" s="1"/>
      <c r="L279" s="1"/>
      <c r="M279" s="1"/>
    </row>
    <row r="280" spans="5:13" x14ac:dyDescent="0.2">
      <c r="E280" s="1"/>
      <c r="L280" s="1"/>
      <c r="M280" s="1"/>
    </row>
    <row r="281" spans="5:13" x14ac:dyDescent="0.2">
      <c r="E281" s="1"/>
      <c r="L281" s="1"/>
      <c r="M281" s="1"/>
    </row>
    <row r="282" spans="5:13" x14ac:dyDescent="0.2">
      <c r="E282" s="1"/>
      <c r="L282" s="1"/>
      <c r="M282" s="1"/>
    </row>
    <row r="283" spans="5:13" x14ac:dyDescent="0.2">
      <c r="E283" s="1"/>
      <c r="L283" s="1"/>
      <c r="M283" s="1"/>
    </row>
    <row r="284" spans="5:13" x14ac:dyDescent="0.2">
      <c r="E284" s="1"/>
      <c r="L284" s="1"/>
      <c r="M284" s="1"/>
    </row>
    <row r="285" spans="5:13" x14ac:dyDescent="0.2">
      <c r="E285" s="1"/>
      <c r="L285" s="1"/>
      <c r="M285" s="1"/>
    </row>
    <row r="286" spans="5:13" x14ac:dyDescent="0.2">
      <c r="E286" s="1"/>
      <c r="L286" s="1"/>
      <c r="M286" s="1"/>
    </row>
    <row r="287" spans="5:13" x14ac:dyDescent="0.2">
      <c r="E287" s="1"/>
      <c r="L287" s="1"/>
      <c r="M287" s="1"/>
    </row>
    <row r="288" spans="5:13" x14ac:dyDescent="0.2">
      <c r="E288" s="1"/>
      <c r="L288" s="1"/>
      <c r="M288" s="1"/>
    </row>
    <row r="289" spans="5:13" x14ac:dyDescent="0.2">
      <c r="E289" s="1"/>
      <c r="L289" s="1"/>
      <c r="M289" s="1"/>
    </row>
    <row r="290" spans="5:13" x14ac:dyDescent="0.2">
      <c r="E290" s="1"/>
      <c r="L290" s="1"/>
      <c r="M290" s="1"/>
    </row>
    <row r="291" spans="5:13" x14ac:dyDescent="0.2">
      <c r="E291" s="1"/>
      <c r="L291" s="1"/>
      <c r="M291" s="1"/>
    </row>
    <row r="292" spans="5:13" x14ac:dyDescent="0.2">
      <c r="E292" s="1"/>
      <c r="L292" s="1"/>
      <c r="M292" s="1"/>
    </row>
    <row r="293" spans="5:13" x14ac:dyDescent="0.2">
      <c r="E293" s="1"/>
      <c r="L293" s="1"/>
      <c r="M293" s="1"/>
    </row>
    <row r="294" spans="5:13" x14ac:dyDescent="0.2">
      <c r="E294" s="1"/>
      <c r="L294" s="1"/>
      <c r="M294" s="1"/>
    </row>
    <row r="295" spans="5:13" x14ac:dyDescent="0.2">
      <c r="E295" s="1"/>
      <c r="L295" s="1"/>
      <c r="M295" s="1"/>
    </row>
    <row r="296" spans="5:13" x14ac:dyDescent="0.2">
      <c r="E296" s="1"/>
      <c r="L296" s="1"/>
      <c r="M296" s="1"/>
    </row>
    <row r="297" spans="5:13" x14ac:dyDescent="0.2">
      <c r="E297" s="1"/>
      <c r="L297" s="1"/>
      <c r="M297" s="1"/>
    </row>
    <row r="298" spans="5:13" x14ac:dyDescent="0.2">
      <c r="E298" s="1"/>
      <c r="L298" s="1"/>
      <c r="M298" s="1"/>
    </row>
    <row r="299" spans="5:13" x14ac:dyDescent="0.2">
      <c r="E299" s="1"/>
      <c r="L299" s="1"/>
      <c r="M299" s="1"/>
    </row>
    <row r="300" spans="5:13" x14ac:dyDescent="0.2">
      <c r="E300" s="1"/>
      <c r="L300" s="1"/>
      <c r="M300" s="1"/>
    </row>
    <row r="301" spans="5:13" x14ac:dyDescent="0.2">
      <c r="E301" s="1"/>
      <c r="L301" s="1"/>
      <c r="M301" s="1"/>
    </row>
    <row r="302" spans="5:13" x14ac:dyDescent="0.2">
      <c r="E302" s="1"/>
      <c r="L302" s="1"/>
      <c r="M302" s="1"/>
    </row>
    <row r="303" spans="5:13" x14ac:dyDescent="0.2">
      <c r="E303" s="1"/>
      <c r="L303" s="1"/>
      <c r="M303" s="1"/>
    </row>
    <row r="304" spans="5:13" x14ac:dyDescent="0.2">
      <c r="E304" s="1"/>
      <c r="L304" s="1"/>
      <c r="M304" s="1"/>
    </row>
    <row r="305" spans="5:13" x14ac:dyDescent="0.2">
      <c r="E305" s="1"/>
      <c r="L305" s="1"/>
      <c r="M305" s="1"/>
    </row>
    <row r="306" spans="5:13" x14ac:dyDescent="0.2">
      <c r="E306" s="1"/>
      <c r="L306" s="1"/>
      <c r="M306" s="1"/>
    </row>
    <row r="307" spans="5:13" x14ac:dyDescent="0.2">
      <c r="E307" s="1"/>
      <c r="L307" s="1"/>
      <c r="M307" s="1"/>
    </row>
    <row r="308" spans="5:13" x14ac:dyDescent="0.2">
      <c r="E308" s="1"/>
      <c r="L308" s="1"/>
      <c r="M308" s="1"/>
    </row>
    <row r="309" spans="5:13" x14ac:dyDescent="0.2">
      <c r="E309" s="1"/>
      <c r="L309" s="1"/>
      <c r="M309" s="1"/>
    </row>
    <row r="310" spans="5:13" x14ac:dyDescent="0.2">
      <c r="E310" s="1"/>
      <c r="L310" s="1"/>
      <c r="M310" s="1"/>
    </row>
    <row r="311" spans="5:13" x14ac:dyDescent="0.2">
      <c r="E311" s="1"/>
      <c r="L311" s="1"/>
      <c r="M311" s="1"/>
    </row>
    <row r="312" spans="5:13" x14ac:dyDescent="0.2">
      <c r="E312" s="1"/>
      <c r="L312" s="1"/>
      <c r="M312" s="1"/>
    </row>
    <row r="313" spans="5:13" x14ac:dyDescent="0.2">
      <c r="E313" s="1"/>
      <c r="L313" s="1"/>
      <c r="M313" s="1"/>
    </row>
    <row r="314" spans="5:13" x14ac:dyDescent="0.2">
      <c r="E314" s="1"/>
      <c r="L314" s="1"/>
      <c r="M314" s="1"/>
    </row>
    <row r="315" spans="5:13" x14ac:dyDescent="0.2">
      <c r="E315" s="1"/>
      <c r="L315" s="1"/>
      <c r="M315" s="1"/>
    </row>
    <row r="316" spans="5:13" x14ac:dyDescent="0.2">
      <c r="E316" s="1"/>
      <c r="L316" s="1"/>
      <c r="M316" s="1"/>
    </row>
    <row r="317" spans="5:13" x14ac:dyDescent="0.2">
      <c r="E317" s="1"/>
      <c r="L317" s="1"/>
      <c r="M317" s="1"/>
    </row>
    <row r="318" spans="5:13" x14ac:dyDescent="0.2">
      <c r="E318" s="1"/>
      <c r="L318" s="1"/>
      <c r="M318" s="1"/>
    </row>
    <row r="319" spans="5:13" x14ac:dyDescent="0.2">
      <c r="E319" s="1"/>
      <c r="L319" s="1"/>
      <c r="M319" s="1"/>
    </row>
    <row r="320" spans="5:13" x14ac:dyDescent="0.2">
      <c r="E320" s="1"/>
      <c r="L320" s="1"/>
      <c r="M320" s="1"/>
    </row>
    <row r="321" spans="5:13" x14ac:dyDescent="0.2">
      <c r="E321" s="1"/>
      <c r="L321" s="1"/>
      <c r="M321" s="1"/>
    </row>
    <row r="322" spans="5:13" x14ac:dyDescent="0.2">
      <c r="E322" s="1"/>
      <c r="L322" s="1"/>
      <c r="M322" s="1"/>
    </row>
    <row r="323" spans="5:13" x14ac:dyDescent="0.2">
      <c r="E323" s="1"/>
      <c r="L323" s="1"/>
      <c r="M323" s="1"/>
    </row>
    <row r="324" spans="5:13" x14ac:dyDescent="0.2">
      <c r="E324" s="1"/>
      <c r="L324" s="1"/>
      <c r="M324" s="1"/>
    </row>
    <row r="325" spans="5:13" x14ac:dyDescent="0.2">
      <c r="E325" s="1"/>
      <c r="L325" s="1"/>
      <c r="M325" s="1"/>
    </row>
    <row r="326" spans="5:13" x14ac:dyDescent="0.2">
      <c r="E326" s="1"/>
      <c r="L326" s="1"/>
      <c r="M326" s="1"/>
    </row>
    <row r="327" spans="5:13" x14ac:dyDescent="0.2">
      <c r="E327" s="1"/>
      <c r="L327" s="1"/>
      <c r="M327" s="1"/>
    </row>
    <row r="328" spans="5:13" x14ac:dyDescent="0.2">
      <c r="E328" s="1"/>
      <c r="L328" s="1"/>
      <c r="M328" s="1"/>
    </row>
    <row r="329" spans="5:13" x14ac:dyDescent="0.2">
      <c r="E329" s="1"/>
      <c r="L329" s="1"/>
      <c r="M329" s="1"/>
    </row>
    <row r="330" spans="5:13" x14ac:dyDescent="0.2">
      <c r="E330" s="1"/>
      <c r="L330" s="1"/>
      <c r="M330" s="1"/>
    </row>
    <row r="331" spans="5:13" x14ac:dyDescent="0.2">
      <c r="E331" s="1"/>
      <c r="L331" s="1"/>
      <c r="M331" s="1"/>
    </row>
    <row r="332" spans="5:13" x14ac:dyDescent="0.2">
      <c r="E332" s="1"/>
      <c r="L332" s="1"/>
      <c r="M332" s="1"/>
    </row>
    <row r="333" spans="5:13" x14ac:dyDescent="0.2">
      <c r="E333" s="1"/>
      <c r="L333" s="1"/>
      <c r="M333" s="1"/>
    </row>
    <row r="334" spans="5:13" x14ac:dyDescent="0.2">
      <c r="E334" s="1"/>
      <c r="L334" s="1"/>
      <c r="M334" s="1"/>
    </row>
    <row r="335" spans="5:13" x14ac:dyDescent="0.2">
      <c r="E335" s="1"/>
      <c r="L335" s="1"/>
      <c r="M335" s="1"/>
    </row>
    <row r="336" spans="5:13" x14ac:dyDescent="0.2">
      <c r="E336" s="1"/>
      <c r="L336" s="1"/>
      <c r="M336" s="1"/>
    </row>
    <row r="337" spans="5:13" x14ac:dyDescent="0.2">
      <c r="E337" s="1"/>
      <c r="L337" s="1"/>
      <c r="M337" s="1"/>
    </row>
    <row r="338" spans="5:13" x14ac:dyDescent="0.2">
      <c r="E338" s="1"/>
      <c r="L338" s="1"/>
      <c r="M338" s="1"/>
    </row>
    <row r="339" spans="5:13" x14ac:dyDescent="0.2">
      <c r="E339" s="1"/>
      <c r="L339" s="1"/>
      <c r="M339" s="1"/>
    </row>
    <row r="340" spans="5:13" x14ac:dyDescent="0.2">
      <c r="E340" s="1"/>
      <c r="L340" s="1"/>
      <c r="M340" s="1"/>
    </row>
    <row r="341" spans="5:13" x14ac:dyDescent="0.2">
      <c r="E341" s="1"/>
      <c r="L341" s="1"/>
      <c r="M341" s="1"/>
    </row>
    <row r="342" spans="5:13" x14ac:dyDescent="0.2">
      <c r="E342" s="1"/>
      <c r="L342" s="1"/>
      <c r="M342" s="1"/>
    </row>
    <row r="343" spans="5:13" x14ac:dyDescent="0.2">
      <c r="E343" s="1"/>
      <c r="L343" s="1"/>
      <c r="M343" s="1"/>
    </row>
    <row r="344" spans="5:13" x14ac:dyDescent="0.2">
      <c r="E344" s="1"/>
      <c r="L344" s="1"/>
      <c r="M344" s="1"/>
    </row>
    <row r="345" spans="5:13" x14ac:dyDescent="0.2">
      <c r="E345" s="1"/>
      <c r="L345" s="1"/>
      <c r="M345" s="1"/>
    </row>
    <row r="346" spans="5:13" x14ac:dyDescent="0.2">
      <c r="E346" s="1"/>
      <c r="L346" s="1"/>
      <c r="M346" s="1"/>
    </row>
    <row r="347" spans="5:13" x14ac:dyDescent="0.2">
      <c r="E347" s="1"/>
      <c r="L347" s="1"/>
      <c r="M347" s="1"/>
    </row>
    <row r="348" spans="5:13" x14ac:dyDescent="0.2">
      <c r="E348" s="1"/>
      <c r="L348" s="1"/>
      <c r="M348" s="1"/>
    </row>
    <row r="349" spans="5:13" x14ac:dyDescent="0.2">
      <c r="E349" s="1"/>
      <c r="L349" s="1"/>
      <c r="M349" s="1"/>
    </row>
    <row r="350" spans="5:13" x14ac:dyDescent="0.2">
      <c r="E350" s="1"/>
      <c r="L350" s="1"/>
      <c r="M350" s="1"/>
    </row>
    <row r="351" spans="5:13" x14ac:dyDescent="0.2">
      <c r="E351" s="1"/>
      <c r="L351" s="1"/>
      <c r="M351" s="1"/>
    </row>
    <row r="352" spans="5:13" x14ac:dyDescent="0.2">
      <c r="E352" s="1"/>
      <c r="L352" s="1"/>
      <c r="M352" s="1"/>
    </row>
    <row r="353" spans="5:13" x14ac:dyDescent="0.2">
      <c r="E353" s="1"/>
      <c r="L353" s="1"/>
      <c r="M353" s="1"/>
    </row>
    <row r="354" spans="5:13" x14ac:dyDescent="0.2">
      <c r="E354" s="1"/>
      <c r="L354" s="1"/>
      <c r="M354" s="1"/>
    </row>
    <row r="355" spans="5:13" x14ac:dyDescent="0.2">
      <c r="E355" s="1"/>
      <c r="L355" s="1"/>
      <c r="M355" s="1"/>
    </row>
    <row r="356" spans="5:13" x14ac:dyDescent="0.2">
      <c r="E356" s="1"/>
      <c r="L356" s="1"/>
      <c r="M356" s="1"/>
    </row>
    <row r="357" spans="5:13" x14ac:dyDescent="0.2">
      <c r="E357" s="1"/>
      <c r="L357" s="1"/>
      <c r="M357" s="1"/>
    </row>
    <row r="358" spans="5:13" x14ac:dyDescent="0.2">
      <c r="E358" s="1"/>
      <c r="L358" s="1"/>
      <c r="M358" s="1"/>
    </row>
    <row r="359" spans="5:13" x14ac:dyDescent="0.2">
      <c r="E359" s="1"/>
      <c r="L359" s="1"/>
      <c r="M359" s="1"/>
    </row>
    <row r="360" spans="5:13" x14ac:dyDescent="0.2">
      <c r="E360" s="1"/>
      <c r="L360" s="1"/>
      <c r="M360" s="1"/>
    </row>
    <row r="361" spans="5:13" x14ac:dyDescent="0.2">
      <c r="E361" s="1"/>
      <c r="L361" s="1"/>
      <c r="M361" s="1"/>
    </row>
    <row r="362" spans="5:13" x14ac:dyDescent="0.2">
      <c r="E362" s="1"/>
      <c r="L362" s="1"/>
      <c r="M362" s="1"/>
    </row>
    <row r="363" spans="5:13" x14ac:dyDescent="0.2">
      <c r="E363" s="1"/>
      <c r="L363" s="1"/>
      <c r="M363" s="1"/>
    </row>
    <row r="364" spans="5:13" x14ac:dyDescent="0.2">
      <c r="E364" s="1"/>
      <c r="L364" s="1"/>
      <c r="M364" s="1"/>
    </row>
    <row r="365" spans="5:13" x14ac:dyDescent="0.2">
      <c r="E365" s="1"/>
      <c r="L365" s="1"/>
      <c r="M365" s="1"/>
    </row>
    <row r="366" spans="5:13" x14ac:dyDescent="0.2">
      <c r="E366" s="1"/>
      <c r="L366" s="1"/>
      <c r="M366" s="1"/>
    </row>
    <row r="367" spans="5:13" x14ac:dyDescent="0.2">
      <c r="E367" s="1"/>
      <c r="L367" s="1"/>
      <c r="M367" s="1"/>
    </row>
    <row r="368" spans="5:13" x14ac:dyDescent="0.2">
      <c r="E368" s="1"/>
      <c r="L368" s="1"/>
      <c r="M368" s="1"/>
    </row>
    <row r="369" spans="5:13" x14ac:dyDescent="0.2">
      <c r="E369" s="1"/>
      <c r="L369" s="1"/>
      <c r="M369" s="1"/>
    </row>
    <row r="370" spans="5:13" x14ac:dyDescent="0.2">
      <c r="E370" s="1"/>
      <c r="L370" s="1"/>
      <c r="M370" s="1"/>
    </row>
    <row r="371" spans="5:13" x14ac:dyDescent="0.2">
      <c r="E371" s="1"/>
      <c r="L371" s="1"/>
      <c r="M371" s="1"/>
    </row>
    <row r="372" spans="5:13" x14ac:dyDescent="0.2">
      <c r="E372" s="1"/>
      <c r="L372" s="1"/>
      <c r="M372" s="1"/>
    </row>
    <row r="373" spans="5:13" x14ac:dyDescent="0.2">
      <c r="E373" s="1"/>
      <c r="L373" s="1"/>
      <c r="M373" s="1"/>
    </row>
    <row r="374" spans="5:13" x14ac:dyDescent="0.2">
      <c r="E374" s="1"/>
      <c r="L374" s="1"/>
      <c r="M374" s="1"/>
    </row>
    <row r="375" spans="5:13" x14ac:dyDescent="0.2">
      <c r="E375" s="1"/>
      <c r="L375" s="1"/>
      <c r="M375" s="1"/>
    </row>
    <row r="376" spans="5:13" x14ac:dyDescent="0.2">
      <c r="E376" s="1"/>
      <c r="L376" s="1"/>
      <c r="M376" s="1"/>
    </row>
    <row r="377" spans="5:13" x14ac:dyDescent="0.2">
      <c r="E377" s="1"/>
      <c r="L377" s="1"/>
      <c r="M377" s="1"/>
    </row>
    <row r="378" spans="5:13" x14ac:dyDescent="0.2">
      <c r="E378" s="1"/>
      <c r="L378" s="1"/>
      <c r="M378" s="1"/>
    </row>
    <row r="379" spans="5:13" x14ac:dyDescent="0.2">
      <c r="E379" s="1"/>
      <c r="L379" s="1"/>
      <c r="M379" s="1"/>
    </row>
    <row r="380" spans="5:13" x14ac:dyDescent="0.2">
      <c r="E380" s="1"/>
      <c r="L380" s="1"/>
      <c r="M380" s="1"/>
    </row>
    <row r="381" spans="5:13" x14ac:dyDescent="0.2">
      <c r="E381" s="1"/>
      <c r="L381" s="1"/>
      <c r="M381" s="1"/>
    </row>
    <row r="382" spans="5:13" x14ac:dyDescent="0.2">
      <c r="E382" s="1"/>
      <c r="L382" s="1"/>
      <c r="M382" s="1"/>
    </row>
    <row r="383" spans="5:13" x14ac:dyDescent="0.2">
      <c r="E383" s="1"/>
      <c r="L383" s="1"/>
      <c r="M383" s="1"/>
    </row>
    <row r="384" spans="5:13" x14ac:dyDescent="0.2">
      <c r="E384" s="1"/>
      <c r="L384" s="1"/>
      <c r="M384" s="1"/>
    </row>
    <row r="385" spans="5:13" x14ac:dyDescent="0.2">
      <c r="E385" s="1"/>
      <c r="L385" s="1"/>
      <c r="M385" s="1"/>
    </row>
    <row r="386" spans="5:13" x14ac:dyDescent="0.2">
      <c r="E386" s="1"/>
      <c r="L386" s="1"/>
      <c r="M386" s="1"/>
    </row>
    <row r="387" spans="5:13" x14ac:dyDescent="0.2">
      <c r="E387" s="1"/>
      <c r="L387" s="1"/>
      <c r="M387" s="1"/>
    </row>
    <row r="388" spans="5:13" x14ac:dyDescent="0.2">
      <c r="E388" s="1"/>
      <c r="L388" s="1"/>
      <c r="M388" s="1"/>
    </row>
    <row r="389" spans="5:13" x14ac:dyDescent="0.2">
      <c r="E389" s="1"/>
      <c r="L389" s="1"/>
      <c r="M389" s="1"/>
    </row>
    <row r="390" spans="5:13" x14ac:dyDescent="0.2">
      <c r="E390" s="1"/>
      <c r="L390" s="1"/>
      <c r="M390" s="1"/>
    </row>
    <row r="391" spans="5:13" x14ac:dyDescent="0.2">
      <c r="E391" s="1"/>
      <c r="L391" s="1"/>
      <c r="M391" s="1"/>
    </row>
    <row r="392" spans="5:13" x14ac:dyDescent="0.2">
      <c r="E392" s="1"/>
      <c r="L392" s="1"/>
      <c r="M392" s="1"/>
    </row>
    <row r="393" spans="5:13" x14ac:dyDescent="0.2">
      <c r="E393" s="1"/>
      <c r="L393" s="1"/>
      <c r="M393" s="1"/>
    </row>
    <row r="394" spans="5:13" x14ac:dyDescent="0.2">
      <c r="E394" s="1"/>
      <c r="L394" s="1"/>
      <c r="M394" s="1"/>
    </row>
    <row r="395" spans="5:13" x14ac:dyDescent="0.2">
      <c r="E395" s="1"/>
      <c r="L395" s="1"/>
      <c r="M395" s="1"/>
    </row>
    <row r="396" spans="5:13" x14ac:dyDescent="0.2">
      <c r="E396" s="1"/>
      <c r="L396" s="1"/>
      <c r="M396" s="1"/>
    </row>
    <row r="397" spans="5:13" x14ac:dyDescent="0.2">
      <c r="E397" s="1"/>
      <c r="L397" s="1"/>
      <c r="M397" s="1"/>
    </row>
    <row r="398" spans="5:13" x14ac:dyDescent="0.2">
      <c r="E398" s="1"/>
      <c r="L398" s="1"/>
      <c r="M398" s="1"/>
    </row>
    <row r="399" spans="5:13" x14ac:dyDescent="0.2">
      <c r="E399" s="1"/>
      <c r="L399" s="1"/>
      <c r="M399" s="1"/>
    </row>
    <row r="400" spans="5:13" x14ac:dyDescent="0.2">
      <c r="E400" s="1"/>
      <c r="L400" s="1"/>
      <c r="M400" s="1"/>
    </row>
    <row r="401" spans="5:13" x14ac:dyDescent="0.2">
      <c r="E401" s="1"/>
      <c r="L401" s="1"/>
      <c r="M401" s="1"/>
    </row>
    <row r="402" spans="5:13" x14ac:dyDescent="0.2">
      <c r="E402" s="1"/>
      <c r="L402" s="1"/>
      <c r="M402" s="1"/>
    </row>
    <row r="403" spans="5:13" x14ac:dyDescent="0.2">
      <c r="E403" s="1"/>
      <c r="L403" s="1"/>
      <c r="M403" s="1"/>
    </row>
    <row r="404" spans="5:13" x14ac:dyDescent="0.2">
      <c r="E404" s="1"/>
      <c r="L404" s="1"/>
      <c r="M404" s="1"/>
    </row>
    <row r="405" spans="5:13" x14ac:dyDescent="0.2">
      <c r="E405" s="1"/>
      <c r="L405" s="1"/>
      <c r="M405" s="1"/>
    </row>
    <row r="406" spans="5:13" x14ac:dyDescent="0.2">
      <c r="E406" s="1"/>
      <c r="L406" s="1"/>
      <c r="M406" s="1"/>
    </row>
    <row r="407" spans="5:13" x14ac:dyDescent="0.2">
      <c r="E407" s="1"/>
      <c r="L407" s="1"/>
      <c r="M407" s="1"/>
    </row>
    <row r="408" spans="5:13" x14ac:dyDescent="0.2">
      <c r="E408" s="1"/>
      <c r="L408" s="1"/>
      <c r="M408" s="1"/>
    </row>
    <row r="409" spans="5:13" x14ac:dyDescent="0.2">
      <c r="E409" s="1"/>
      <c r="L409" s="1"/>
      <c r="M409" s="1"/>
    </row>
    <row r="410" spans="5:13" x14ac:dyDescent="0.2">
      <c r="E410" s="1"/>
      <c r="L410" s="1"/>
      <c r="M410" s="1"/>
    </row>
    <row r="411" spans="5:13" x14ac:dyDescent="0.2">
      <c r="E411" s="1"/>
      <c r="L411" s="1"/>
      <c r="M411" s="1"/>
    </row>
    <row r="412" spans="5:13" x14ac:dyDescent="0.2">
      <c r="E412" s="1"/>
      <c r="L412" s="1"/>
      <c r="M412" s="1"/>
    </row>
    <row r="413" spans="5:13" x14ac:dyDescent="0.2">
      <c r="E413" s="1"/>
      <c r="L413" s="1"/>
      <c r="M413" s="1"/>
    </row>
    <row r="414" spans="5:13" x14ac:dyDescent="0.2">
      <c r="E414" s="1"/>
      <c r="L414" s="1"/>
      <c r="M414" s="1"/>
    </row>
    <row r="415" spans="5:13" x14ac:dyDescent="0.2">
      <c r="E415" s="1"/>
      <c r="L415" s="1"/>
      <c r="M415" s="1"/>
    </row>
    <row r="416" spans="5:13" x14ac:dyDescent="0.2">
      <c r="E416" s="1"/>
      <c r="L416" s="1"/>
      <c r="M416" s="1"/>
    </row>
    <row r="417" spans="5:13" x14ac:dyDescent="0.2">
      <c r="E417" s="1"/>
      <c r="L417" s="1"/>
      <c r="M417" s="1"/>
    </row>
    <row r="418" spans="5:13" x14ac:dyDescent="0.2">
      <c r="E418" s="1"/>
      <c r="L418" s="1"/>
      <c r="M418" s="1"/>
    </row>
    <row r="419" spans="5:13" x14ac:dyDescent="0.2">
      <c r="E419" s="1"/>
      <c r="L419" s="1"/>
      <c r="M419" s="1"/>
    </row>
    <row r="420" spans="5:13" x14ac:dyDescent="0.2">
      <c r="E420" s="1"/>
      <c r="L420" s="1"/>
      <c r="M420" s="1"/>
    </row>
    <row r="421" spans="5:13" x14ac:dyDescent="0.2">
      <c r="E421" s="1"/>
      <c r="L421" s="1"/>
      <c r="M421" s="1"/>
    </row>
    <row r="422" spans="5:13" x14ac:dyDescent="0.2">
      <c r="E422" s="1"/>
      <c r="L422" s="1"/>
      <c r="M422" s="1"/>
    </row>
    <row r="423" spans="5:13" x14ac:dyDescent="0.2">
      <c r="E423" s="1"/>
      <c r="L423" s="1"/>
      <c r="M423" s="1"/>
    </row>
    <row r="424" spans="5:13" x14ac:dyDescent="0.2">
      <c r="E424" s="1"/>
      <c r="L424" s="1"/>
      <c r="M424" s="1"/>
    </row>
    <row r="425" spans="5:13" x14ac:dyDescent="0.2">
      <c r="E425" s="1"/>
      <c r="L425" s="1"/>
      <c r="M425" s="1"/>
    </row>
    <row r="426" spans="5:13" x14ac:dyDescent="0.2">
      <c r="E426" s="1"/>
      <c r="L426" s="1"/>
      <c r="M426" s="1"/>
    </row>
    <row r="427" spans="5:13" x14ac:dyDescent="0.2">
      <c r="E427" s="1"/>
      <c r="L427" s="1"/>
      <c r="M427" s="1"/>
    </row>
    <row r="428" spans="5:13" x14ac:dyDescent="0.2">
      <c r="E428" s="1"/>
      <c r="L428" s="1"/>
      <c r="M428" s="1"/>
    </row>
    <row r="429" spans="5:13" x14ac:dyDescent="0.2">
      <c r="E429" s="1"/>
      <c r="L429" s="1"/>
      <c r="M429" s="1"/>
    </row>
    <row r="430" spans="5:13" x14ac:dyDescent="0.2">
      <c r="E430" s="1"/>
      <c r="L430" s="1"/>
      <c r="M430" s="1"/>
    </row>
    <row r="431" spans="5:13" x14ac:dyDescent="0.2">
      <c r="E431" s="1"/>
      <c r="L431" s="1"/>
      <c r="M431" s="1"/>
    </row>
    <row r="432" spans="5:13" x14ac:dyDescent="0.2">
      <c r="E432" s="1"/>
      <c r="L432" s="1"/>
      <c r="M432" s="1"/>
    </row>
    <row r="433" spans="5:13" x14ac:dyDescent="0.2">
      <c r="E433" s="1"/>
      <c r="L433" s="1"/>
      <c r="M433" s="1"/>
    </row>
    <row r="434" spans="5:13" x14ac:dyDescent="0.2">
      <c r="E434" s="1"/>
      <c r="L434" s="1"/>
      <c r="M434" s="1"/>
    </row>
    <row r="435" spans="5:13" x14ac:dyDescent="0.2">
      <c r="E435" s="1"/>
      <c r="L435" s="1"/>
      <c r="M435" s="1"/>
    </row>
    <row r="436" spans="5:13" x14ac:dyDescent="0.2">
      <c r="E436" s="1"/>
      <c r="L436" s="1"/>
      <c r="M436" s="1"/>
    </row>
    <row r="437" spans="5:13" x14ac:dyDescent="0.2">
      <c r="E437" s="1"/>
      <c r="L437" s="1"/>
      <c r="M437" s="1"/>
    </row>
    <row r="438" spans="5:13" x14ac:dyDescent="0.2">
      <c r="E438" s="1"/>
      <c r="L438" s="1"/>
      <c r="M438" s="1"/>
    </row>
    <row r="439" spans="5:13" x14ac:dyDescent="0.2">
      <c r="E439" s="1"/>
      <c r="L439" s="1"/>
      <c r="M439" s="1"/>
    </row>
    <row r="440" spans="5:13" x14ac:dyDescent="0.2">
      <c r="E440" s="1"/>
      <c r="L440" s="1"/>
      <c r="M440" s="1"/>
    </row>
    <row r="441" spans="5:13" x14ac:dyDescent="0.2">
      <c r="E441" s="1"/>
      <c r="L441" s="1"/>
      <c r="M441" s="1"/>
    </row>
    <row r="442" spans="5:13" x14ac:dyDescent="0.2">
      <c r="E442" s="1"/>
      <c r="L442" s="1"/>
      <c r="M442" s="1"/>
    </row>
    <row r="443" spans="5:13" x14ac:dyDescent="0.2">
      <c r="E443" s="1"/>
      <c r="L443" s="1"/>
      <c r="M443" s="1"/>
    </row>
    <row r="444" spans="5:13" x14ac:dyDescent="0.2">
      <c r="E444" s="1"/>
      <c r="L444" s="1"/>
      <c r="M444" s="1"/>
    </row>
    <row r="445" spans="5:13" x14ac:dyDescent="0.2">
      <c r="E445" s="1"/>
      <c r="L445" s="1"/>
      <c r="M445" s="1"/>
    </row>
    <row r="446" spans="5:13" x14ac:dyDescent="0.2">
      <c r="E446" s="1"/>
      <c r="L446" s="1"/>
      <c r="M446" s="1"/>
    </row>
    <row r="447" spans="5:13" x14ac:dyDescent="0.2">
      <c r="E447" s="1"/>
      <c r="L447" s="1"/>
      <c r="M447" s="1"/>
    </row>
    <row r="448" spans="5:13" x14ac:dyDescent="0.2">
      <c r="E448" s="1"/>
      <c r="L448" s="1"/>
      <c r="M448" s="1"/>
    </row>
    <row r="449" spans="5:13" x14ac:dyDescent="0.2">
      <c r="E449" s="1"/>
      <c r="L449" s="1"/>
      <c r="M449" s="1"/>
    </row>
    <row r="450" spans="5:13" x14ac:dyDescent="0.2">
      <c r="E450" s="1"/>
      <c r="L450" s="1"/>
      <c r="M450" s="1"/>
    </row>
    <row r="451" spans="5:13" x14ac:dyDescent="0.2">
      <c r="E451" s="1"/>
      <c r="L451" s="1"/>
      <c r="M451" s="1"/>
    </row>
    <row r="452" spans="5:13" x14ac:dyDescent="0.2">
      <c r="E452" s="1"/>
      <c r="L452" s="1"/>
      <c r="M452" s="1"/>
    </row>
    <row r="453" spans="5:13" x14ac:dyDescent="0.2">
      <c r="E453" s="1"/>
      <c r="L453" s="1"/>
      <c r="M453" s="1"/>
    </row>
    <row r="454" spans="5:13" x14ac:dyDescent="0.2">
      <c r="E454" s="1"/>
      <c r="L454" s="1"/>
      <c r="M454" s="1"/>
    </row>
    <row r="455" spans="5:13" x14ac:dyDescent="0.2">
      <c r="E455" s="1"/>
      <c r="L455" s="1"/>
      <c r="M455" s="1"/>
    </row>
    <row r="456" spans="5:13" x14ac:dyDescent="0.2">
      <c r="E456" s="1"/>
      <c r="L456" s="1"/>
      <c r="M456" s="1"/>
    </row>
    <row r="457" spans="5:13" x14ac:dyDescent="0.2">
      <c r="E457" s="1"/>
      <c r="L457" s="1"/>
      <c r="M457" s="1"/>
    </row>
    <row r="458" spans="5:13" x14ac:dyDescent="0.2">
      <c r="E458" s="1"/>
      <c r="L458" s="1"/>
      <c r="M458" s="1"/>
    </row>
    <row r="459" spans="5:13" x14ac:dyDescent="0.2">
      <c r="E459" s="1"/>
      <c r="L459" s="1"/>
      <c r="M459" s="1"/>
    </row>
    <row r="460" spans="5:13" x14ac:dyDescent="0.2">
      <c r="E460" s="1"/>
      <c r="L460" s="1"/>
      <c r="M460" s="1"/>
    </row>
    <row r="461" spans="5:13" x14ac:dyDescent="0.2">
      <c r="E461" s="1"/>
      <c r="L461" s="1"/>
      <c r="M461" s="1"/>
    </row>
    <row r="462" spans="5:13" x14ac:dyDescent="0.2">
      <c r="E462" s="1"/>
      <c r="L462" s="1"/>
      <c r="M462" s="1"/>
    </row>
    <row r="463" spans="5:13" x14ac:dyDescent="0.2">
      <c r="E463" s="1"/>
      <c r="L463" s="1"/>
      <c r="M463" s="1"/>
    </row>
    <row r="464" spans="5:13" x14ac:dyDescent="0.2">
      <c r="E464" s="1"/>
      <c r="L464" s="1"/>
      <c r="M464" s="1"/>
    </row>
    <row r="465" spans="5:13" x14ac:dyDescent="0.2">
      <c r="E465" s="1"/>
      <c r="L465" s="1"/>
      <c r="M465" s="1"/>
    </row>
    <row r="466" spans="5:13" x14ac:dyDescent="0.2">
      <c r="E466" s="1"/>
      <c r="L466" s="1"/>
      <c r="M466" s="1"/>
    </row>
    <row r="467" spans="5:13" x14ac:dyDescent="0.2">
      <c r="E467" s="1"/>
      <c r="L467" s="1"/>
      <c r="M467" s="1"/>
    </row>
    <row r="468" spans="5:13" x14ac:dyDescent="0.2">
      <c r="E468" s="1"/>
      <c r="L468" s="1"/>
      <c r="M468" s="1"/>
    </row>
    <row r="469" spans="5:13" x14ac:dyDescent="0.2">
      <c r="E469" s="1"/>
      <c r="L469" s="1"/>
      <c r="M469" s="1"/>
    </row>
    <row r="470" spans="5:13" x14ac:dyDescent="0.2">
      <c r="E470" s="1"/>
      <c r="L470" s="1"/>
      <c r="M470" s="1"/>
    </row>
    <row r="471" spans="5:13" x14ac:dyDescent="0.2">
      <c r="E471" s="1"/>
      <c r="L471" s="1"/>
      <c r="M471" s="1"/>
    </row>
    <row r="472" spans="5:13" x14ac:dyDescent="0.2">
      <c r="E472" s="1"/>
      <c r="L472" s="1"/>
      <c r="M472" s="1"/>
    </row>
    <row r="473" spans="5:13" x14ac:dyDescent="0.2">
      <c r="E473" s="1"/>
      <c r="L473" s="1"/>
      <c r="M473" s="1"/>
    </row>
    <row r="474" spans="5:13" x14ac:dyDescent="0.2">
      <c r="E474" s="1"/>
      <c r="L474" s="1"/>
      <c r="M474" s="1"/>
    </row>
    <row r="475" spans="5:13" x14ac:dyDescent="0.2">
      <c r="E475" s="1"/>
      <c r="L475" s="1"/>
      <c r="M475" s="1"/>
    </row>
    <row r="476" spans="5:13" x14ac:dyDescent="0.2">
      <c r="E476" s="1"/>
      <c r="L476" s="1"/>
      <c r="M476" s="1"/>
    </row>
    <row r="477" spans="5:13" x14ac:dyDescent="0.2">
      <c r="E477" s="1"/>
      <c r="L477" s="1"/>
      <c r="M477" s="1"/>
    </row>
    <row r="478" spans="5:13" x14ac:dyDescent="0.2">
      <c r="E478" s="1"/>
      <c r="L478" s="1"/>
      <c r="M478" s="1"/>
    </row>
    <row r="479" spans="5:13" x14ac:dyDescent="0.2">
      <c r="E479" s="1"/>
      <c r="L479" s="1"/>
      <c r="M479" s="1"/>
    </row>
    <row r="480" spans="5:13" x14ac:dyDescent="0.2">
      <c r="E480" s="1"/>
      <c r="L480" s="1"/>
      <c r="M480" s="1"/>
    </row>
    <row r="481" spans="5:13" x14ac:dyDescent="0.2">
      <c r="E481" s="1"/>
      <c r="L481" s="1"/>
      <c r="M481" s="1"/>
    </row>
    <row r="482" spans="5:13" x14ac:dyDescent="0.2">
      <c r="E482" s="1"/>
      <c r="L482" s="1"/>
      <c r="M482" s="1"/>
    </row>
    <row r="483" spans="5:13" x14ac:dyDescent="0.2">
      <c r="E483" s="1"/>
      <c r="L483" s="1"/>
      <c r="M483" s="1"/>
    </row>
    <row r="484" spans="5:13" x14ac:dyDescent="0.2">
      <c r="E484" s="1"/>
      <c r="L484" s="1"/>
      <c r="M484" s="1"/>
    </row>
    <row r="485" spans="5:13" x14ac:dyDescent="0.2">
      <c r="E485" s="1"/>
      <c r="L485" s="1"/>
      <c r="M485" s="1"/>
    </row>
    <row r="486" spans="5:13" x14ac:dyDescent="0.2">
      <c r="E486" s="1"/>
      <c r="L486" s="1"/>
      <c r="M486" s="1"/>
    </row>
    <row r="487" spans="5:13" x14ac:dyDescent="0.2">
      <c r="E487" s="1"/>
      <c r="L487" s="1"/>
      <c r="M487" s="1"/>
    </row>
    <row r="488" spans="5:13" x14ac:dyDescent="0.2">
      <c r="E488" s="1"/>
      <c r="L488" s="1"/>
      <c r="M488" s="1"/>
    </row>
    <row r="489" spans="5:13" x14ac:dyDescent="0.2">
      <c r="E489" s="1"/>
      <c r="L489" s="1"/>
      <c r="M489" s="1"/>
    </row>
    <row r="490" spans="5:13" x14ac:dyDescent="0.2">
      <c r="E490" s="1"/>
      <c r="L490" s="1"/>
      <c r="M490" s="1"/>
    </row>
    <row r="491" spans="5:13" x14ac:dyDescent="0.2">
      <c r="E491" s="1"/>
      <c r="L491" s="1"/>
      <c r="M491" s="1"/>
    </row>
    <row r="492" spans="5:13" x14ac:dyDescent="0.2">
      <c r="E492" s="1"/>
      <c r="L492" s="1"/>
      <c r="M492" s="1"/>
    </row>
    <row r="493" spans="5:13" x14ac:dyDescent="0.2">
      <c r="E493" s="1"/>
      <c r="L493" s="1"/>
      <c r="M493" s="1"/>
    </row>
    <row r="494" spans="5:13" x14ac:dyDescent="0.2">
      <c r="E494" s="1"/>
      <c r="L494" s="1"/>
      <c r="M494" s="1"/>
    </row>
    <row r="495" spans="5:13" x14ac:dyDescent="0.2">
      <c r="E495" s="1"/>
      <c r="L495" s="1"/>
      <c r="M495" s="1"/>
    </row>
    <row r="496" spans="5:13" x14ac:dyDescent="0.2">
      <c r="E496" s="1"/>
      <c r="L496" s="1"/>
      <c r="M496" s="1"/>
    </row>
    <row r="497" spans="5:13" x14ac:dyDescent="0.2">
      <c r="E497" s="1"/>
      <c r="L497" s="1"/>
      <c r="M497" s="1"/>
    </row>
    <row r="498" spans="5:13" x14ac:dyDescent="0.2">
      <c r="E498" s="1"/>
      <c r="L498" s="1"/>
      <c r="M498" s="1"/>
    </row>
    <row r="499" spans="5:13" x14ac:dyDescent="0.2">
      <c r="E499" s="1"/>
      <c r="L499" s="1"/>
      <c r="M499" s="1"/>
    </row>
    <row r="500" spans="5:13" x14ac:dyDescent="0.2">
      <c r="E500" s="1"/>
      <c r="L500" s="1"/>
      <c r="M500" s="1"/>
    </row>
    <row r="501" spans="5:13" x14ac:dyDescent="0.2">
      <c r="E501" s="1"/>
      <c r="L501" s="1"/>
      <c r="M501" s="1"/>
    </row>
    <row r="502" spans="5:13" x14ac:dyDescent="0.2">
      <c r="E502" s="1"/>
      <c r="L502" s="1"/>
      <c r="M502" s="1"/>
    </row>
    <row r="503" spans="5:13" x14ac:dyDescent="0.2">
      <c r="E503" s="1"/>
      <c r="L503" s="1"/>
      <c r="M503" s="1"/>
    </row>
    <row r="504" spans="5:13" x14ac:dyDescent="0.2">
      <c r="E504" s="1"/>
      <c r="L504" s="1"/>
      <c r="M504" s="1"/>
    </row>
    <row r="505" spans="5:13" x14ac:dyDescent="0.2">
      <c r="E505" s="1"/>
      <c r="L505" s="1"/>
      <c r="M505" s="1"/>
    </row>
    <row r="506" spans="5:13" x14ac:dyDescent="0.2">
      <c r="E506" s="1"/>
      <c r="L506" s="1"/>
      <c r="M506" s="1"/>
    </row>
    <row r="507" spans="5:13" x14ac:dyDescent="0.2">
      <c r="E507" s="1"/>
      <c r="L507" s="1"/>
      <c r="M507" s="1"/>
    </row>
    <row r="508" spans="5:13" x14ac:dyDescent="0.2">
      <c r="E508" s="1"/>
      <c r="L508" s="1"/>
      <c r="M508" s="1"/>
    </row>
    <row r="509" spans="5:13" x14ac:dyDescent="0.2">
      <c r="E509" s="1"/>
      <c r="L509" s="1"/>
      <c r="M509" s="1"/>
    </row>
    <row r="510" spans="5:13" x14ac:dyDescent="0.2">
      <c r="E510" s="1"/>
      <c r="L510" s="1"/>
      <c r="M510" s="1"/>
    </row>
    <row r="511" spans="5:13" x14ac:dyDescent="0.2">
      <c r="E511" s="1"/>
      <c r="L511" s="1"/>
      <c r="M511" s="1"/>
    </row>
    <row r="512" spans="5:13" x14ac:dyDescent="0.2">
      <c r="E512" s="1"/>
      <c r="L512" s="1"/>
      <c r="M512" s="1"/>
    </row>
    <row r="513" spans="5:13" x14ac:dyDescent="0.2">
      <c r="E513" s="1"/>
      <c r="L513" s="1"/>
      <c r="M513" s="1"/>
    </row>
    <row r="514" spans="5:13" x14ac:dyDescent="0.2">
      <c r="E514" s="1"/>
      <c r="L514" s="1"/>
      <c r="M514" s="1"/>
    </row>
    <row r="515" spans="5:13" x14ac:dyDescent="0.2">
      <c r="E515" s="1"/>
      <c r="L515" s="1"/>
      <c r="M515" s="1"/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Olofsson</dc:creator>
  <cp:lastModifiedBy>Erik Olofsson</cp:lastModifiedBy>
  <dcterms:created xsi:type="dcterms:W3CDTF">2012-10-20T20:11:30Z</dcterms:created>
  <dcterms:modified xsi:type="dcterms:W3CDTF">2024-08-02T14:32:43Z</dcterms:modified>
</cp:coreProperties>
</file>