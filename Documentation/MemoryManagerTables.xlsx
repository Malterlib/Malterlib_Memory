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opt/Source/Favro/Malterlib/Memory/Documentation/"/>
    </mc:Choice>
  </mc:AlternateContent>
  <xr:revisionPtr revIDLastSave="0" documentId="13_ncr:1_{CFF32A0B-60BC-3D4B-8E60-9753FDFCB9D8}" xr6:coauthVersionLast="47" xr6:coauthVersionMax="47" xr10:uidLastSave="{00000000-0000-0000-0000-000000000000}"/>
  <bookViews>
    <workbookView xWindow="20280" yWindow="1840" windowWidth="36260" windowHeight="25660" tabRatio="500" xr2:uid="{00000000-000D-0000-FFFF-FFFF00000000}"/>
  </bookViews>
  <sheets>
    <sheet name="All" sheetId="1" r:id="rId1"/>
    <sheet name="Mixed" sheetId="11" r:id="rId2"/>
    <sheet name="Small" sheetId="2" r:id="rId3"/>
    <sheet name="1" sheetId="3" r:id="rId4"/>
    <sheet name="9" sheetId="7" r:id="rId5"/>
    <sheet name="5" sheetId="4" r:id="rId6"/>
    <sheet name="11" sheetId="8" r:id="rId7"/>
    <sheet name="3" sheetId="5" r:id="rId8"/>
    <sheet name="13" sheetId="9" r:id="rId9"/>
    <sheet name="7" sheetId="6" r:id="rId10"/>
    <sheet name="15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79" i="1" l="1"/>
  <c r="L91" i="1"/>
  <c r="L87" i="1"/>
  <c r="L101" i="1"/>
  <c r="L99" i="1"/>
  <c r="L97" i="1"/>
  <c r="L95" i="1"/>
  <c r="L110" i="1"/>
  <c r="L109" i="1"/>
  <c r="L108" i="1"/>
  <c r="L107" i="1"/>
  <c r="L105" i="1"/>
  <c r="L104" i="1"/>
  <c r="L103" i="1"/>
  <c r="L118" i="1"/>
  <c r="L117" i="1"/>
  <c r="L116" i="1"/>
  <c r="L115" i="1"/>
  <c r="L113" i="1"/>
  <c r="L112" i="1"/>
  <c r="L111" i="1"/>
  <c r="L122" i="1"/>
  <c r="L121" i="1"/>
  <c r="L123" i="1"/>
  <c r="L124" i="1"/>
  <c r="L125" i="1"/>
  <c r="L126" i="1"/>
  <c r="L120" i="1"/>
  <c r="L119" i="1"/>
  <c r="I20" i="8"/>
  <c r="I20" i="3"/>
  <c r="I19" i="3"/>
  <c r="I18" i="3"/>
  <c r="I17" i="3"/>
  <c r="I16" i="3"/>
  <c r="I15" i="3"/>
  <c r="I18" i="10"/>
  <c r="I17" i="10"/>
  <c r="I16" i="10"/>
  <c r="I20" i="4"/>
  <c r="I21" i="5"/>
  <c r="I21" i="6"/>
  <c r="I20" i="6"/>
  <c r="I19" i="6"/>
  <c r="I18" i="6"/>
  <c r="I20" i="9"/>
  <c r="I19" i="9"/>
  <c r="I18" i="9"/>
  <c r="I20" i="5"/>
  <c r="I19" i="5"/>
  <c r="I18" i="5"/>
  <c r="I17" i="5"/>
  <c r="I19" i="4"/>
  <c r="I18" i="4"/>
  <c r="I17" i="4"/>
  <c r="I20" i="7"/>
  <c r="I19" i="7"/>
  <c r="I18" i="7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38" i="3"/>
  <c r="J39" i="3"/>
  <c r="J40" i="3"/>
  <c r="J41" i="3"/>
  <c r="J37" i="3"/>
  <c r="J36" i="3"/>
  <c r="J9" i="2"/>
  <c r="J10" i="2"/>
  <c r="J11" i="2"/>
  <c r="J12" i="2"/>
  <c r="J8" i="2"/>
  <c r="J7" i="2"/>
  <c r="E26" i="10"/>
  <c r="E29" i="6"/>
  <c r="E28" i="9"/>
  <c r="E28" i="5"/>
  <c r="E29" i="8"/>
  <c r="E28" i="4"/>
  <c r="E26" i="3"/>
  <c r="E28" i="7"/>
  <c r="E30" i="10"/>
  <c r="E33" i="6"/>
  <c r="E32" i="9"/>
  <c r="E32" i="5"/>
  <c r="E32" i="8"/>
  <c r="E33" i="8"/>
  <c r="E32" i="4"/>
  <c r="E32" i="7"/>
  <c r="E28" i="3"/>
  <c r="E30" i="3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6" i="1"/>
  <c r="L128" i="1" l="1"/>
  <c r="J128" i="1"/>
  <c r="J127" i="1"/>
  <c r="L127" i="1"/>
  <c r="L129" i="1" l="1"/>
  <c r="J129" i="1"/>
  <c r="L130" i="1" l="1"/>
  <c r="J130" i="1"/>
  <c r="L131" i="1" l="1"/>
  <c r="J131" i="1"/>
  <c r="L132" i="1" l="1"/>
  <c r="J132" i="1"/>
  <c r="L133" i="1" l="1"/>
  <c r="J133" i="1"/>
  <c r="L134" i="1" l="1"/>
  <c r="J134" i="1"/>
  <c r="L135" i="1" l="1"/>
  <c r="J135" i="1"/>
  <c r="L136" i="1" l="1"/>
  <c r="J136" i="1"/>
  <c r="L137" i="1" l="1"/>
  <c r="J137" i="1"/>
  <c r="L138" i="1" l="1"/>
  <c r="J138" i="1"/>
  <c r="L139" i="1" l="1"/>
  <c r="J139" i="1"/>
  <c r="L140" i="1" l="1"/>
  <c r="J140" i="1"/>
  <c r="J141" i="1" l="1"/>
  <c r="L141" i="1"/>
  <c r="L142" i="1" l="1"/>
  <c r="J142" i="1"/>
</calcChain>
</file>

<file path=xl/sharedStrings.xml><?xml version="1.0" encoding="utf-8"?>
<sst xmlns="http://schemas.openxmlformats.org/spreadsheetml/2006/main" count="2179" uniqueCount="19">
  <si>
    <t>Size</t>
  </si>
  <si>
    <t>Small</t>
  </si>
  <si>
    <t>|</t>
  </si>
  <si>
    <t>Slab type</t>
  </si>
  <si>
    <t>:----</t>
  </si>
  <si>
    <t>----:</t>
  </si>
  <si>
    <t>Sub slab size</t>
  </si>
  <si>
    <t>Sub size</t>
  </si>
  <si>
    <t>Num sub</t>
  </si>
  <si>
    <t>Allocations/sub slab</t>
  </si>
  <si>
    <t>:-----</t>
  </si>
  <si>
    <t>Overhead</t>
  </si>
  <si>
    <t>Sub slabs</t>
  </si>
  <si>
    <t>Header size</t>
  </si>
  <si>
    <t>Internal fragmentation</t>
  </si>
  <si>
    <t>Total overhead</t>
  </si>
  <si>
    <t>Sub slab size multiplier</t>
  </si>
  <si>
    <t>Type</t>
  </si>
  <si>
    <t>Virtual space fragmentation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</si>
</sst>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3" fillId="0" borderId="0" xfId="0" applyFont="1"/>
    <xf numFmtId="0" fontId="4" fillId="0" borderId="0" xfId="0" applyFont="1"/>
    <xf numFmtId="10" fontId="3" fillId="0" borderId="0" xfId="0" applyNumberFormat="1" applyFont="1"/>
    <xf numFmtId="10" fontId="0" fillId="0" borderId="0" xfId="0" applyNumberFormat="1"/>
  </cellXfs>
  <cellStyles count="2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142"/>
  <sheetViews>
    <sheetView tabSelected="1" topLeftCell="A101" workbookViewId="0">
      <selection activeCell="G145" sqref="G145"/>
    </sheetView>
  </sheetViews>
  <sheetFormatPr baseColWidth="10" defaultRowHeight="16" x14ac:dyDescent="0.2"/>
  <cols>
    <col min="11" max="11" width="11.6640625" customWidth="1"/>
  </cols>
  <sheetData>
    <row r="4" spans="2:13" x14ac:dyDescent="0.2">
      <c r="B4" t="s">
        <v>2</v>
      </c>
      <c r="C4" t="s">
        <v>0</v>
      </c>
      <c r="D4" t="s">
        <v>2</v>
      </c>
      <c r="E4" t="s">
        <v>3</v>
      </c>
      <c r="G4" t="s">
        <v>2</v>
      </c>
      <c r="H4" t="s">
        <v>7</v>
      </c>
      <c r="I4" t="s">
        <v>2</v>
      </c>
      <c r="J4" t="s">
        <v>8</v>
      </c>
      <c r="K4" t="s">
        <v>2</v>
      </c>
      <c r="L4" s="2" t="s">
        <v>18</v>
      </c>
      <c r="M4" t="s">
        <v>2</v>
      </c>
    </row>
    <row r="5" spans="2:13" x14ac:dyDescent="0.2">
      <c r="B5" t="s">
        <v>2</v>
      </c>
      <c r="C5" s="1" t="s">
        <v>5</v>
      </c>
      <c r="D5" t="s">
        <v>2</v>
      </c>
      <c r="E5" t="s">
        <v>4</v>
      </c>
      <c r="F5" s="1" t="s">
        <v>5</v>
      </c>
      <c r="G5" t="s">
        <v>2</v>
      </c>
      <c r="H5" s="1" t="s">
        <v>5</v>
      </c>
      <c r="I5" t="s">
        <v>2</v>
      </c>
      <c r="J5" s="1" t="s">
        <v>5</v>
      </c>
      <c r="K5" t="s">
        <v>2</v>
      </c>
      <c r="M5" t="s">
        <v>2</v>
      </c>
    </row>
    <row r="6" spans="2:13" x14ac:dyDescent="0.2">
      <c r="B6" t="s">
        <v>2</v>
      </c>
      <c r="C6">
        <v>1</v>
      </c>
      <c r="D6" t="s">
        <v>2</v>
      </c>
      <c r="E6" t="s">
        <v>17</v>
      </c>
      <c r="F6">
        <v>0</v>
      </c>
      <c r="G6" t="s">
        <v>2</v>
      </c>
      <c r="H6">
        <v>4096</v>
      </c>
      <c r="I6" t="s">
        <v>2</v>
      </c>
      <c r="J6" t="str">
        <f>IF(C6/H6&gt;=1,C6/H6,"")</f>
        <v/>
      </c>
      <c r="K6" t="s">
        <v>2</v>
      </c>
      <c r="M6" t="s">
        <v>2</v>
      </c>
    </row>
    <row r="7" spans="2:13" x14ac:dyDescent="0.2">
      <c r="B7" t="s">
        <v>2</v>
      </c>
      <c r="C7">
        <v>2</v>
      </c>
      <c r="D7" t="s">
        <v>2</v>
      </c>
      <c r="E7" t="s">
        <v>17</v>
      </c>
      <c r="F7">
        <v>0</v>
      </c>
      <c r="G7" t="s">
        <v>2</v>
      </c>
      <c r="H7">
        <v>4096</v>
      </c>
      <c r="I7" t="s">
        <v>2</v>
      </c>
      <c r="J7" t="str">
        <f t="shared" ref="J7:J70" si="0">IF(C7/H7&gt;=1,C7/H7,"")</f>
        <v/>
      </c>
      <c r="K7" t="s">
        <v>2</v>
      </c>
      <c r="M7" t="s">
        <v>2</v>
      </c>
    </row>
    <row r="8" spans="2:13" x14ac:dyDescent="0.2">
      <c r="B8" t="s">
        <v>2</v>
      </c>
      <c r="C8">
        <v>4</v>
      </c>
      <c r="D8" t="s">
        <v>2</v>
      </c>
      <c r="E8" t="s">
        <v>17</v>
      </c>
      <c r="F8">
        <v>0</v>
      </c>
      <c r="G8" t="s">
        <v>2</v>
      </c>
      <c r="H8">
        <v>4096</v>
      </c>
      <c r="I8" t="s">
        <v>2</v>
      </c>
      <c r="J8" t="str">
        <f t="shared" si="0"/>
        <v/>
      </c>
      <c r="K8" t="s">
        <v>2</v>
      </c>
      <c r="M8" t="s">
        <v>2</v>
      </c>
    </row>
    <row r="9" spans="2:13" x14ac:dyDescent="0.2">
      <c r="B9" t="s">
        <v>2</v>
      </c>
      <c r="C9">
        <v>8</v>
      </c>
      <c r="D9" t="s">
        <v>2</v>
      </c>
      <c r="E9" t="s">
        <v>17</v>
      </c>
      <c r="F9">
        <v>0</v>
      </c>
      <c r="G9" t="s">
        <v>2</v>
      </c>
      <c r="H9">
        <v>4096</v>
      </c>
      <c r="I9" t="s">
        <v>2</v>
      </c>
      <c r="J9" t="str">
        <f t="shared" si="0"/>
        <v/>
      </c>
      <c r="K9" t="s">
        <v>2</v>
      </c>
      <c r="M9" t="s">
        <v>2</v>
      </c>
    </row>
    <row r="10" spans="2:13" x14ac:dyDescent="0.2">
      <c r="B10" t="s">
        <v>2</v>
      </c>
      <c r="C10">
        <v>12</v>
      </c>
      <c r="D10" t="s">
        <v>2</v>
      </c>
      <c r="E10" t="s">
        <v>17</v>
      </c>
      <c r="F10">
        <v>0</v>
      </c>
      <c r="G10" t="s">
        <v>2</v>
      </c>
      <c r="H10">
        <v>4096</v>
      </c>
      <c r="I10" t="s">
        <v>2</v>
      </c>
      <c r="J10" t="str">
        <f t="shared" si="0"/>
        <v/>
      </c>
      <c r="K10" t="s">
        <v>2</v>
      </c>
      <c r="M10" t="s">
        <v>2</v>
      </c>
    </row>
    <row r="11" spans="2:13" x14ac:dyDescent="0.2">
      <c r="B11" t="s">
        <v>2</v>
      </c>
      <c r="C11">
        <v>16</v>
      </c>
      <c r="D11" t="s">
        <v>2</v>
      </c>
      <c r="E11" t="s">
        <v>17</v>
      </c>
      <c r="F11">
        <v>0</v>
      </c>
      <c r="G11" t="s">
        <v>2</v>
      </c>
      <c r="H11">
        <v>4096</v>
      </c>
      <c r="I11" t="s">
        <v>2</v>
      </c>
      <c r="J11" t="str">
        <f t="shared" si="0"/>
        <v/>
      </c>
      <c r="K11" t="s">
        <v>2</v>
      </c>
      <c r="M11" t="s">
        <v>2</v>
      </c>
    </row>
    <row r="12" spans="2:13" x14ac:dyDescent="0.2">
      <c r="B12" t="s">
        <v>2</v>
      </c>
      <c r="C12">
        <v>20</v>
      </c>
      <c r="D12" t="s">
        <v>2</v>
      </c>
      <c r="E12" t="s">
        <v>17</v>
      </c>
      <c r="F12">
        <v>2</v>
      </c>
      <c r="G12" t="s">
        <v>2</v>
      </c>
      <c r="H12">
        <v>20480</v>
      </c>
      <c r="I12" t="s">
        <v>2</v>
      </c>
      <c r="J12" t="str">
        <f t="shared" si="0"/>
        <v/>
      </c>
      <c r="K12" t="s">
        <v>2</v>
      </c>
      <c r="M12" t="s">
        <v>2</v>
      </c>
    </row>
    <row r="13" spans="2:13" x14ac:dyDescent="0.2">
      <c r="B13" t="s">
        <v>2</v>
      </c>
      <c r="C13">
        <v>24</v>
      </c>
      <c r="D13" t="s">
        <v>2</v>
      </c>
      <c r="E13" t="s">
        <v>17</v>
      </c>
      <c r="F13">
        <v>4</v>
      </c>
      <c r="G13" t="s">
        <v>2</v>
      </c>
      <c r="H13">
        <v>12288</v>
      </c>
      <c r="I13" t="s">
        <v>2</v>
      </c>
      <c r="J13" t="str">
        <f t="shared" si="0"/>
        <v/>
      </c>
      <c r="K13" t="s">
        <v>2</v>
      </c>
      <c r="M13" t="s">
        <v>2</v>
      </c>
    </row>
    <row r="14" spans="2:13" x14ac:dyDescent="0.2">
      <c r="B14" t="s">
        <v>2</v>
      </c>
      <c r="C14">
        <v>28</v>
      </c>
      <c r="D14" t="s">
        <v>2</v>
      </c>
      <c r="E14" t="s">
        <v>17</v>
      </c>
      <c r="F14">
        <v>6</v>
      </c>
      <c r="G14" t="s">
        <v>2</v>
      </c>
      <c r="H14">
        <v>28672</v>
      </c>
      <c r="I14" t="s">
        <v>2</v>
      </c>
      <c r="J14" t="str">
        <f t="shared" si="0"/>
        <v/>
      </c>
      <c r="K14" t="s">
        <v>2</v>
      </c>
      <c r="M14" t="s">
        <v>2</v>
      </c>
    </row>
    <row r="15" spans="2:13" x14ac:dyDescent="0.2">
      <c r="B15" t="s">
        <v>2</v>
      </c>
      <c r="C15">
        <v>32</v>
      </c>
      <c r="D15" t="s">
        <v>2</v>
      </c>
      <c r="E15" t="s">
        <v>17</v>
      </c>
      <c r="F15">
        <v>0</v>
      </c>
      <c r="G15" t="s">
        <v>2</v>
      </c>
      <c r="H15">
        <v>4096</v>
      </c>
      <c r="I15" t="s">
        <v>2</v>
      </c>
      <c r="J15" t="str">
        <f t="shared" si="0"/>
        <v/>
      </c>
      <c r="K15" t="s">
        <v>2</v>
      </c>
      <c r="M15" t="s">
        <v>2</v>
      </c>
    </row>
    <row r="16" spans="2:13" x14ac:dyDescent="0.2">
      <c r="B16" t="s">
        <v>2</v>
      </c>
      <c r="C16">
        <v>36</v>
      </c>
      <c r="D16" t="s">
        <v>2</v>
      </c>
      <c r="E16" t="s">
        <v>17</v>
      </c>
      <c r="F16">
        <v>1</v>
      </c>
      <c r="G16" t="s">
        <v>2</v>
      </c>
      <c r="H16">
        <v>36864</v>
      </c>
      <c r="I16" t="s">
        <v>2</v>
      </c>
      <c r="J16" t="str">
        <f t="shared" si="0"/>
        <v/>
      </c>
      <c r="K16" t="s">
        <v>2</v>
      </c>
      <c r="M16" t="s">
        <v>2</v>
      </c>
    </row>
    <row r="17" spans="2:13" x14ac:dyDescent="0.2">
      <c r="B17" t="s">
        <v>2</v>
      </c>
      <c r="C17">
        <v>40</v>
      </c>
      <c r="D17" t="s">
        <v>2</v>
      </c>
      <c r="E17" t="s">
        <v>17</v>
      </c>
      <c r="F17">
        <v>2</v>
      </c>
      <c r="G17" t="s">
        <v>2</v>
      </c>
      <c r="H17">
        <v>20480</v>
      </c>
      <c r="I17" t="s">
        <v>2</v>
      </c>
      <c r="J17" t="str">
        <f t="shared" si="0"/>
        <v/>
      </c>
      <c r="K17" t="s">
        <v>2</v>
      </c>
      <c r="M17" t="s">
        <v>2</v>
      </c>
    </row>
    <row r="18" spans="2:13" x14ac:dyDescent="0.2">
      <c r="B18" t="s">
        <v>2</v>
      </c>
      <c r="C18">
        <v>44</v>
      </c>
      <c r="D18" t="s">
        <v>2</v>
      </c>
      <c r="E18" t="s">
        <v>17</v>
      </c>
      <c r="F18">
        <v>3</v>
      </c>
      <c r="G18" t="s">
        <v>2</v>
      </c>
      <c r="H18">
        <v>45056</v>
      </c>
      <c r="I18" t="s">
        <v>2</v>
      </c>
      <c r="J18" t="str">
        <f t="shared" si="0"/>
        <v/>
      </c>
      <c r="K18" t="s">
        <v>2</v>
      </c>
      <c r="M18" t="s">
        <v>2</v>
      </c>
    </row>
    <row r="19" spans="2:13" x14ac:dyDescent="0.2">
      <c r="B19" t="s">
        <v>2</v>
      </c>
      <c r="C19">
        <v>48</v>
      </c>
      <c r="D19" t="s">
        <v>2</v>
      </c>
      <c r="E19" t="s">
        <v>17</v>
      </c>
      <c r="F19">
        <v>4</v>
      </c>
      <c r="G19" t="s">
        <v>2</v>
      </c>
      <c r="H19">
        <v>12288</v>
      </c>
      <c r="I19" t="s">
        <v>2</v>
      </c>
      <c r="J19" t="str">
        <f t="shared" si="0"/>
        <v/>
      </c>
      <c r="K19" t="s">
        <v>2</v>
      </c>
      <c r="M19" t="s">
        <v>2</v>
      </c>
    </row>
    <row r="20" spans="2:13" x14ac:dyDescent="0.2">
      <c r="B20" t="s">
        <v>2</v>
      </c>
      <c r="C20">
        <v>52</v>
      </c>
      <c r="D20" t="s">
        <v>2</v>
      </c>
      <c r="E20" t="s">
        <v>17</v>
      </c>
      <c r="F20">
        <v>5</v>
      </c>
      <c r="G20" t="s">
        <v>2</v>
      </c>
      <c r="H20">
        <v>53248</v>
      </c>
      <c r="I20" t="s">
        <v>2</v>
      </c>
      <c r="J20" t="str">
        <f t="shared" si="0"/>
        <v/>
      </c>
      <c r="K20" t="s">
        <v>2</v>
      </c>
      <c r="M20" t="s">
        <v>2</v>
      </c>
    </row>
    <row r="21" spans="2:13" x14ac:dyDescent="0.2">
      <c r="B21" t="s">
        <v>2</v>
      </c>
      <c r="C21">
        <v>56</v>
      </c>
      <c r="D21" t="s">
        <v>2</v>
      </c>
      <c r="E21" t="s">
        <v>17</v>
      </c>
      <c r="F21">
        <v>6</v>
      </c>
      <c r="G21" t="s">
        <v>2</v>
      </c>
      <c r="H21">
        <v>28672</v>
      </c>
      <c r="I21" t="s">
        <v>2</v>
      </c>
      <c r="J21" t="str">
        <f t="shared" si="0"/>
        <v/>
      </c>
      <c r="K21" t="s">
        <v>2</v>
      </c>
      <c r="M21" t="s">
        <v>2</v>
      </c>
    </row>
    <row r="22" spans="2:13" x14ac:dyDescent="0.2">
      <c r="B22" t="s">
        <v>2</v>
      </c>
      <c r="C22">
        <v>60</v>
      </c>
      <c r="D22" t="s">
        <v>2</v>
      </c>
      <c r="E22" t="s">
        <v>17</v>
      </c>
      <c r="F22">
        <v>7</v>
      </c>
      <c r="G22" t="s">
        <v>2</v>
      </c>
      <c r="H22">
        <v>61440</v>
      </c>
      <c r="I22" t="s">
        <v>2</v>
      </c>
      <c r="J22" t="str">
        <f t="shared" si="0"/>
        <v/>
      </c>
      <c r="K22" t="s">
        <v>2</v>
      </c>
      <c r="M22" t="s">
        <v>2</v>
      </c>
    </row>
    <row r="23" spans="2:13" x14ac:dyDescent="0.2">
      <c r="B23" t="s">
        <v>2</v>
      </c>
      <c r="C23">
        <v>64</v>
      </c>
      <c r="D23" t="s">
        <v>2</v>
      </c>
      <c r="E23" t="s">
        <v>17</v>
      </c>
      <c r="F23">
        <v>0</v>
      </c>
      <c r="G23" t="s">
        <v>2</v>
      </c>
      <c r="H23">
        <v>4096</v>
      </c>
      <c r="I23" t="s">
        <v>2</v>
      </c>
      <c r="J23" t="str">
        <f t="shared" si="0"/>
        <v/>
      </c>
      <c r="K23" t="s">
        <v>2</v>
      </c>
      <c r="M23" t="s">
        <v>2</v>
      </c>
    </row>
    <row r="24" spans="2:13" x14ac:dyDescent="0.2">
      <c r="B24" t="s">
        <v>2</v>
      </c>
      <c r="C24">
        <v>72</v>
      </c>
      <c r="D24" t="s">
        <v>2</v>
      </c>
      <c r="E24" t="s">
        <v>17</v>
      </c>
      <c r="F24">
        <v>1</v>
      </c>
      <c r="G24" t="s">
        <v>2</v>
      </c>
      <c r="H24">
        <v>36864</v>
      </c>
      <c r="I24" t="s">
        <v>2</v>
      </c>
      <c r="J24" t="str">
        <f t="shared" si="0"/>
        <v/>
      </c>
      <c r="K24" t="s">
        <v>2</v>
      </c>
      <c r="M24" t="s">
        <v>2</v>
      </c>
    </row>
    <row r="25" spans="2:13" x14ac:dyDescent="0.2">
      <c r="B25" t="s">
        <v>2</v>
      </c>
      <c r="C25">
        <v>80</v>
      </c>
      <c r="D25" t="s">
        <v>2</v>
      </c>
      <c r="E25" t="s">
        <v>17</v>
      </c>
      <c r="F25">
        <v>2</v>
      </c>
      <c r="G25" t="s">
        <v>2</v>
      </c>
      <c r="H25">
        <v>20480</v>
      </c>
      <c r="I25" t="s">
        <v>2</v>
      </c>
      <c r="J25" t="str">
        <f t="shared" si="0"/>
        <v/>
      </c>
      <c r="K25" t="s">
        <v>2</v>
      </c>
      <c r="M25" t="s">
        <v>2</v>
      </c>
    </row>
    <row r="26" spans="2:13" x14ac:dyDescent="0.2">
      <c r="B26" t="s">
        <v>2</v>
      </c>
      <c r="C26">
        <v>88</v>
      </c>
      <c r="D26" t="s">
        <v>2</v>
      </c>
      <c r="E26" t="s">
        <v>17</v>
      </c>
      <c r="F26">
        <v>3</v>
      </c>
      <c r="G26" t="s">
        <v>2</v>
      </c>
      <c r="H26">
        <v>45056</v>
      </c>
      <c r="I26" t="s">
        <v>2</v>
      </c>
      <c r="J26" t="str">
        <f t="shared" si="0"/>
        <v/>
      </c>
      <c r="K26" t="s">
        <v>2</v>
      </c>
      <c r="M26" t="s">
        <v>2</v>
      </c>
    </row>
    <row r="27" spans="2:13" x14ac:dyDescent="0.2">
      <c r="B27" t="s">
        <v>2</v>
      </c>
      <c r="C27">
        <v>96</v>
      </c>
      <c r="D27" t="s">
        <v>2</v>
      </c>
      <c r="E27" t="s">
        <v>17</v>
      </c>
      <c r="F27">
        <v>4</v>
      </c>
      <c r="G27" t="s">
        <v>2</v>
      </c>
      <c r="H27">
        <v>12288</v>
      </c>
      <c r="I27" t="s">
        <v>2</v>
      </c>
      <c r="J27" t="str">
        <f t="shared" si="0"/>
        <v/>
      </c>
      <c r="K27" t="s">
        <v>2</v>
      </c>
      <c r="M27" t="s">
        <v>2</v>
      </c>
    </row>
    <row r="28" spans="2:13" x14ac:dyDescent="0.2">
      <c r="B28" t="s">
        <v>2</v>
      </c>
      <c r="C28">
        <v>104</v>
      </c>
      <c r="D28" t="s">
        <v>2</v>
      </c>
      <c r="E28" t="s">
        <v>17</v>
      </c>
      <c r="F28">
        <v>5</v>
      </c>
      <c r="G28" t="s">
        <v>2</v>
      </c>
      <c r="H28">
        <v>53248</v>
      </c>
      <c r="I28" t="s">
        <v>2</v>
      </c>
      <c r="J28" t="str">
        <f t="shared" si="0"/>
        <v/>
      </c>
      <c r="K28" t="s">
        <v>2</v>
      </c>
      <c r="M28" t="s">
        <v>2</v>
      </c>
    </row>
    <row r="29" spans="2:13" x14ac:dyDescent="0.2">
      <c r="B29" t="s">
        <v>2</v>
      </c>
      <c r="C29">
        <v>112</v>
      </c>
      <c r="D29" t="s">
        <v>2</v>
      </c>
      <c r="E29" t="s">
        <v>17</v>
      </c>
      <c r="F29">
        <v>6</v>
      </c>
      <c r="G29" t="s">
        <v>2</v>
      </c>
      <c r="H29">
        <v>28672</v>
      </c>
      <c r="I29" t="s">
        <v>2</v>
      </c>
      <c r="J29" t="str">
        <f t="shared" si="0"/>
        <v/>
      </c>
      <c r="K29" t="s">
        <v>2</v>
      </c>
      <c r="M29" t="s">
        <v>2</v>
      </c>
    </row>
    <row r="30" spans="2:13" x14ac:dyDescent="0.2">
      <c r="B30" t="s">
        <v>2</v>
      </c>
      <c r="C30">
        <v>120</v>
      </c>
      <c r="D30" t="s">
        <v>2</v>
      </c>
      <c r="E30" t="s">
        <v>17</v>
      </c>
      <c r="F30">
        <v>7</v>
      </c>
      <c r="G30" t="s">
        <v>2</v>
      </c>
      <c r="H30">
        <v>61440</v>
      </c>
      <c r="I30" t="s">
        <v>2</v>
      </c>
      <c r="J30" t="str">
        <f t="shared" si="0"/>
        <v/>
      </c>
      <c r="K30" t="s">
        <v>2</v>
      </c>
      <c r="M30" t="s">
        <v>2</v>
      </c>
    </row>
    <row r="31" spans="2:13" x14ac:dyDescent="0.2">
      <c r="B31" t="s">
        <v>2</v>
      </c>
      <c r="C31">
        <v>128</v>
      </c>
      <c r="D31" t="s">
        <v>2</v>
      </c>
      <c r="E31" t="s">
        <v>17</v>
      </c>
      <c r="F31">
        <v>0</v>
      </c>
      <c r="G31" t="s">
        <v>2</v>
      </c>
      <c r="H31">
        <v>4096</v>
      </c>
      <c r="I31" t="s">
        <v>2</v>
      </c>
      <c r="J31" t="str">
        <f t="shared" si="0"/>
        <v/>
      </c>
      <c r="K31" t="s">
        <v>2</v>
      </c>
      <c r="M31" t="s">
        <v>2</v>
      </c>
    </row>
    <row r="32" spans="2:13" x14ac:dyDescent="0.2">
      <c r="B32" t="s">
        <v>2</v>
      </c>
      <c r="C32">
        <v>144</v>
      </c>
      <c r="D32" t="s">
        <v>2</v>
      </c>
      <c r="E32" t="s">
        <v>17</v>
      </c>
      <c r="F32">
        <v>1</v>
      </c>
      <c r="G32" t="s">
        <v>2</v>
      </c>
      <c r="H32">
        <v>36864</v>
      </c>
      <c r="I32" t="s">
        <v>2</v>
      </c>
      <c r="J32" t="str">
        <f t="shared" si="0"/>
        <v/>
      </c>
      <c r="K32" t="s">
        <v>2</v>
      </c>
      <c r="M32" t="s">
        <v>2</v>
      </c>
    </row>
    <row r="33" spans="2:13" x14ac:dyDescent="0.2">
      <c r="B33" t="s">
        <v>2</v>
      </c>
      <c r="C33">
        <v>160</v>
      </c>
      <c r="D33" t="s">
        <v>2</v>
      </c>
      <c r="E33" t="s">
        <v>17</v>
      </c>
      <c r="F33">
        <v>2</v>
      </c>
      <c r="G33" t="s">
        <v>2</v>
      </c>
      <c r="H33">
        <v>20480</v>
      </c>
      <c r="I33" t="s">
        <v>2</v>
      </c>
      <c r="J33" t="str">
        <f t="shared" si="0"/>
        <v/>
      </c>
      <c r="K33" t="s">
        <v>2</v>
      </c>
      <c r="M33" t="s">
        <v>2</v>
      </c>
    </row>
    <row r="34" spans="2:13" x14ac:dyDescent="0.2">
      <c r="B34" t="s">
        <v>2</v>
      </c>
      <c r="C34">
        <v>176</v>
      </c>
      <c r="D34" t="s">
        <v>2</v>
      </c>
      <c r="E34" t="s">
        <v>17</v>
      </c>
      <c r="F34">
        <v>3</v>
      </c>
      <c r="G34" t="s">
        <v>2</v>
      </c>
      <c r="H34">
        <v>45056</v>
      </c>
      <c r="I34" t="s">
        <v>2</v>
      </c>
      <c r="J34" t="str">
        <f t="shared" si="0"/>
        <v/>
      </c>
      <c r="K34" t="s">
        <v>2</v>
      </c>
      <c r="M34" t="s">
        <v>2</v>
      </c>
    </row>
    <row r="35" spans="2:13" x14ac:dyDescent="0.2">
      <c r="B35" t="s">
        <v>2</v>
      </c>
      <c r="C35">
        <v>192</v>
      </c>
      <c r="D35" t="s">
        <v>2</v>
      </c>
      <c r="E35" t="s">
        <v>17</v>
      </c>
      <c r="F35">
        <v>4</v>
      </c>
      <c r="G35" t="s">
        <v>2</v>
      </c>
      <c r="H35">
        <v>12288</v>
      </c>
      <c r="I35" t="s">
        <v>2</v>
      </c>
      <c r="J35" t="str">
        <f t="shared" si="0"/>
        <v/>
      </c>
      <c r="K35" t="s">
        <v>2</v>
      </c>
      <c r="M35" t="s">
        <v>2</v>
      </c>
    </row>
    <row r="36" spans="2:13" x14ac:dyDescent="0.2">
      <c r="B36" t="s">
        <v>2</v>
      </c>
      <c r="C36">
        <v>208</v>
      </c>
      <c r="D36" t="s">
        <v>2</v>
      </c>
      <c r="E36" t="s">
        <v>17</v>
      </c>
      <c r="F36">
        <v>5</v>
      </c>
      <c r="G36" t="s">
        <v>2</v>
      </c>
      <c r="H36">
        <v>53248</v>
      </c>
      <c r="I36" t="s">
        <v>2</v>
      </c>
      <c r="J36" t="str">
        <f t="shared" si="0"/>
        <v/>
      </c>
      <c r="K36" t="s">
        <v>2</v>
      </c>
      <c r="M36" t="s">
        <v>2</v>
      </c>
    </row>
    <row r="37" spans="2:13" x14ac:dyDescent="0.2">
      <c r="B37" t="s">
        <v>2</v>
      </c>
      <c r="C37">
        <v>224</v>
      </c>
      <c r="D37" t="s">
        <v>2</v>
      </c>
      <c r="E37" t="s">
        <v>17</v>
      </c>
      <c r="F37">
        <v>6</v>
      </c>
      <c r="G37" t="s">
        <v>2</v>
      </c>
      <c r="H37">
        <v>28672</v>
      </c>
      <c r="I37" t="s">
        <v>2</v>
      </c>
      <c r="J37" t="str">
        <f t="shared" si="0"/>
        <v/>
      </c>
      <c r="K37" t="s">
        <v>2</v>
      </c>
      <c r="M37" t="s">
        <v>2</v>
      </c>
    </row>
    <row r="38" spans="2:13" x14ac:dyDescent="0.2">
      <c r="B38" t="s">
        <v>2</v>
      </c>
      <c r="C38">
        <v>240</v>
      </c>
      <c r="D38" t="s">
        <v>2</v>
      </c>
      <c r="E38" t="s">
        <v>17</v>
      </c>
      <c r="F38">
        <v>7</v>
      </c>
      <c r="G38" t="s">
        <v>2</v>
      </c>
      <c r="H38">
        <v>61440</v>
      </c>
      <c r="I38" t="s">
        <v>2</v>
      </c>
      <c r="J38" t="str">
        <f t="shared" si="0"/>
        <v/>
      </c>
      <c r="K38" t="s">
        <v>2</v>
      </c>
      <c r="M38" t="s">
        <v>2</v>
      </c>
    </row>
    <row r="39" spans="2:13" x14ac:dyDescent="0.2">
      <c r="B39" t="s">
        <v>2</v>
      </c>
      <c r="C39">
        <v>256</v>
      </c>
      <c r="D39" t="s">
        <v>2</v>
      </c>
      <c r="E39" t="s">
        <v>17</v>
      </c>
      <c r="F39">
        <v>0</v>
      </c>
      <c r="G39" t="s">
        <v>2</v>
      </c>
      <c r="H39">
        <v>4096</v>
      </c>
      <c r="I39" t="s">
        <v>2</v>
      </c>
      <c r="J39" t="str">
        <f t="shared" si="0"/>
        <v/>
      </c>
      <c r="K39" t="s">
        <v>2</v>
      </c>
      <c r="M39" t="s">
        <v>2</v>
      </c>
    </row>
    <row r="40" spans="2:13" x14ac:dyDescent="0.2">
      <c r="B40" t="s">
        <v>2</v>
      </c>
      <c r="C40">
        <v>288</v>
      </c>
      <c r="D40" t="s">
        <v>2</v>
      </c>
      <c r="E40" t="s">
        <v>17</v>
      </c>
      <c r="F40">
        <v>1</v>
      </c>
      <c r="G40" t="s">
        <v>2</v>
      </c>
      <c r="H40">
        <v>36864</v>
      </c>
      <c r="I40" t="s">
        <v>2</v>
      </c>
      <c r="J40" t="str">
        <f t="shared" si="0"/>
        <v/>
      </c>
      <c r="K40" t="s">
        <v>2</v>
      </c>
      <c r="M40" t="s">
        <v>2</v>
      </c>
    </row>
    <row r="41" spans="2:13" x14ac:dyDescent="0.2">
      <c r="B41" t="s">
        <v>2</v>
      </c>
      <c r="C41">
        <v>320</v>
      </c>
      <c r="D41" t="s">
        <v>2</v>
      </c>
      <c r="E41" t="s">
        <v>17</v>
      </c>
      <c r="F41">
        <v>2</v>
      </c>
      <c r="G41" t="s">
        <v>2</v>
      </c>
      <c r="H41">
        <v>20480</v>
      </c>
      <c r="I41" t="s">
        <v>2</v>
      </c>
      <c r="J41" t="str">
        <f t="shared" si="0"/>
        <v/>
      </c>
      <c r="K41" t="s">
        <v>2</v>
      </c>
      <c r="M41" t="s">
        <v>2</v>
      </c>
    </row>
    <row r="42" spans="2:13" x14ac:dyDescent="0.2">
      <c r="B42" t="s">
        <v>2</v>
      </c>
      <c r="C42">
        <v>352</v>
      </c>
      <c r="D42" t="s">
        <v>2</v>
      </c>
      <c r="E42" t="s">
        <v>17</v>
      </c>
      <c r="F42">
        <v>3</v>
      </c>
      <c r="G42" t="s">
        <v>2</v>
      </c>
      <c r="H42">
        <v>45056</v>
      </c>
      <c r="I42" t="s">
        <v>2</v>
      </c>
      <c r="J42" t="str">
        <f t="shared" si="0"/>
        <v/>
      </c>
      <c r="K42" t="s">
        <v>2</v>
      </c>
      <c r="M42" t="s">
        <v>2</v>
      </c>
    </row>
    <row r="43" spans="2:13" x14ac:dyDescent="0.2">
      <c r="B43" t="s">
        <v>2</v>
      </c>
      <c r="C43">
        <v>384</v>
      </c>
      <c r="D43" t="s">
        <v>2</v>
      </c>
      <c r="E43" t="s">
        <v>17</v>
      </c>
      <c r="F43">
        <v>4</v>
      </c>
      <c r="G43" t="s">
        <v>2</v>
      </c>
      <c r="H43">
        <v>12288</v>
      </c>
      <c r="I43" t="s">
        <v>2</v>
      </c>
      <c r="J43" t="str">
        <f t="shared" si="0"/>
        <v/>
      </c>
      <c r="K43" t="s">
        <v>2</v>
      </c>
      <c r="M43" t="s">
        <v>2</v>
      </c>
    </row>
    <row r="44" spans="2:13" x14ac:dyDescent="0.2">
      <c r="B44" t="s">
        <v>2</v>
      </c>
      <c r="C44">
        <v>416</v>
      </c>
      <c r="D44" t="s">
        <v>2</v>
      </c>
      <c r="E44" t="s">
        <v>17</v>
      </c>
      <c r="F44">
        <v>5</v>
      </c>
      <c r="G44" t="s">
        <v>2</v>
      </c>
      <c r="H44">
        <v>53248</v>
      </c>
      <c r="I44" t="s">
        <v>2</v>
      </c>
      <c r="J44" t="str">
        <f t="shared" si="0"/>
        <v/>
      </c>
      <c r="K44" t="s">
        <v>2</v>
      </c>
      <c r="M44" t="s">
        <v>2</v>
      </c>
    </row>
    <row r="45" spans="2:13" x14ac:dyDescent="0.2">
      <c r="B45" t="s">
        <v>2</v>
      </c>
      <c r="C45">
        <v>448</v>
      </c>
      <c r="D45" t="s">
        <v>2</v>
      </c>
      <c r="E45" t="s">
        <v>17</v>
      </c>
      <c r="F45">
        <v>6</v>
      </c>
      <c r="G45" t="s">
        <v>2</v>
      </c>
      <c r="H45">
        <v>28672</v>
      </c>
      <c r="I45" t="s">
        <v>2</v>
      </c>
      <c r="J45" t="str">
        <f t="shared" si="0"/>
        <v/>
      </c>
      <c r="K45" t="s">
        <v>2</v>
      </c>
      <c r="M45" t="s">
        <v>2</v>
      </c>
    </row>
    <row r="46" spans="2:13" x14ac:dyDescent="0.2">
      <c r="B46" t="s">
        <v>2</v>
      </c>
      <c r="C46">
        <v>480</v>
      </c>
      <c r="D46" t="s">
        <v>2</v>
      </c>
      <c r="E46" t="s">
        <v>17</v>
      </c>
      <c r="F46">
        <v>7</v>
      </c>
      <c r="G46" t="s">
        <v>2</v>
      </c>
      <c r="H46">
        <v>61440</v>
      </c>
      <c r="I46" t="s">
        <v>2</v>
      </c>
      <c r="J46" t="str">
        <f t="shared" si="0"/>
        <v/>
      </c>
      <c r="K46" t="s">
        <v>2</v>
      </c>
      <c r="M46" t="s">
        <v>2</v>
      </c>
    </row>
    <row r="47" spans="2:13" x14ac:dyDescent="0.2">
      <c r="B47" t="s">
        <v>2</v>
      </c>
      <c r="C47">
        <v>512</v>
      </c>
      <c r="D47" t="s">
        <v>2</v>
      </c>
      <c r="E47" t="s">
        <v>17</v>
      </c>
      <c r="F47">
        <v>0</v>
      </c>
      <c r="G47" t="s">
        <v>2</v>
      </c>
      <c r="H47">
        <v>4096</v>
      </c>
      <c r="I47" t="s">
        <v>2</v>
      </c>
      <c r="J47" t="str">
        <f t="shared" si="0"/>
        <v/>
      </c>
      <c r="K47" t="s">
        <v>2</v>
      </c>
      <c r="M47" t="s">
        <v>2</v>
      </c>
    </row>
    <row r="48" spans="2:13" x14ac:dyDescent="0.2">
      <c r="B48" t="s">
        <v>2</v>
      </c>
      <c r="C48">
        <v>576</v>
      </c>
      <c r="D48" t="s">
        <v>2</v>
      </c>
      <c r="E48" t="s">
        <v>17</v>
      </c>
      <c r="F48">
        <v>1</v>
      </c>
      <c r="G48" t="s">
        <v>2</v>
      </c>
      <c r="H48">
        <v>36864</v>
      </c>
      <c r="I48" t="s">
        <v>2</v>
      </c>
      <c r="J48" t="str">
        <f t="shared" si="0"/>
        <v/>
      </c>
      <c r="K48" t="s">
        <v>2</v>
      </c>
      <c r="M48" t="s">
        <v>2</v>
      </c>
    </row>
    <row r="49" spans="2:13" x14ac:dyDescent="0.2">
      <c r="B49" t="s">
        <v>2</v>
      </c>
      <c r="C49">
        <v>640</v>
      </c>
      <c r="D49" t="s">
        <v>2</v>
      </c>
      <c r="E49" t="s">
        <v>17</v>
      </c>
      <c r="F49">
        <v>2</v>
      </c>
      <c r="G49" t="s">
        <v>2</v>
      </c>
      <c r="H49">
        <v>20480</v>
      </c>
      <c r="I49" t="s">
        <v>2</v>
      </c>
      <c r="J49" t="str">
        <f t="shared" si="0"/>
        <v/>
      </c>
      <c r="K49" t="s">
        <v>2</v>
      </c>
      <c r="M49" t="s">
        <v>2</v>
      </c>
    </row>
    <row r="50" spans="2:13" x14ac:dyDescent="0.2">
      <c r="B50" t="s">
        <v>2</v>
      </c>
      <c r="C50">
        <v>704</v>
      </c>
      <c r="D50" t="s">
        <v>2</v>
      </c>
      <c r="E50" t="s">
        <v>17</v>
      </c>
      <c r="F50">
        <v>3</v>
      </c>
      <c r="G50" t="s">
        <v>2</v>
      </c>
      <c r="H50">
        <v>45056</v>
      </c>
      <c r="I50" t="s">
        <v>2</v>
      </c>
      <c r="J50" t="str">
        <f t="shared" si="0"/>
        <v/>
      </c>
      <c r="K50" t="s">
        <v>2</v>
      </c>
      <c r="M50" t="s">
        <v>2</v>
      </c>
    </row>
    <row r="51" spans="2:13" x14ac:dyDescent="0.2">
      <c r="B51" t="s">
        <v>2</v>
      </c>
      <c r="C51">
        <v>768</v>
      </c>
      <c r="D51" t="s">
        <v>2</v>
      </c>
      <c r="E51" t="s">
        <v>17</v>
      </c>
      <c r="F51">
        <v>4</v>
      </c>
      <c r="G51" t="s">
        <v>2</v>
      </c>
      <c r="H51">
        <v>12288</v>
      </c>
      <c r="I51" t="s">
        <v>2</v>
      </c>
      <c r="J51" t="str">
        <f t="shared" si="0"/>
        <v/>
      </c>
      <c r="K51" t="s">
        <v>2</v>
      </c>
      <c r="M51" t="s">
        <v>2</v>
      </c>
    </row>
    <row r="52" spans="2:13" x14ac:dyDescent="0.2">
      <c r="B52" t="s">
        <v>2</v>
      </c>
      <c r="C52">
        <v>832</v>
      </c>
      <c r="D52" t="s">
        <v>2</v>
      </c>
      <c r="E52" t="s">
        <v>17</v>
      </c>
      <c r="F52">
        <v>5</v>
      </c>
      <c r="G52" t="s">
        <v>2</v>
      </c>
      <c r="H52">
        <v>53248</v>
      </c>
      <c r="I52" t="s">
        <v>2</v>
      </c>
      <c r="J52" t="str">
        <f t="shared" si="0"/>
        <v/>
      </c>
      <c r="K52" t="s">
        <v>2</v>
      </c>
      <c r="M52" t="s">
        <v>2</v>
      </c>
    </row>
    <row r="53" spans="2:13" x14ac:dyDescent="0.2">
      <c r="B53" t="s">
        <v>2</v>
      </c>
      <c r="C53">
        <v>896</v>
      </c>
      <c r="D53" t="s">
        <v>2</v>
      </c>
      <c r="E53" t="s">
        <v>17</v>
      </c>
      <c r="F53">
        <v>6</v>
      </c>
      <c r="G53" t="s">
        <v>2</v>
      </c>
      <c r="H53">
        <v>28672</v>
      </c>
      <c r="I53" t="s">
        <v>2</v>
      </c>
      <c r="J53" t="str">
        <f t="shared" si="0"/>
        <v/>
      </c>
      <c r="K53" t="s">
        <v>2</v>
      </c>
      <c r="M53" t="s">
        <v>2</v>
      </c>
    </row>
    <row r="54" spans="2:13" x14ac:dyDescent="0.2">
      <c r="B54" t="s">
        <v>2</v>
      </c>
      <c r="C54">
        <v>960</v>
      </c>
      <c r="D54" t="s">
        <v>2</v>
      </c>
      <c r="E54" t="s">
        <v>17</v>
      </c>
      <c r="F54">
        <v>7</v>
      </c>
      <c r="G54" t="s">
        <v>2</v>
      </c>
      <c r="H54">
        <v>61440</v>
      </c>
      <c r="I54" t="s">
        <v>2</v>
      </c>
      <c r="J54" t="str">
        <f t="shared" si="0"/>
        <v/>
      </c>
      <c r="K54" t="s">
        <v>2</v>
      </c>
      <c r="M54" t="s">
        <v>2</v>
      </c>
    </row>
    <row r="55" spans="2:13" x14ac:dyDescent="0.2">
      <c r="B55" t="s">
        <v>2</v>
      </c>
      <c r="C55">
        <v>1024</v>
      </c>
      <c r="D55" t="s">
        <v>2</v>
      </c>
      <c r="E55" t="s">
        <v>17</v>
      </c>
      <c r="F55">
        <v>0</v>
      </c>
      <c r="G55" t="s">
        <v>2</v>
      </c>
      <c r="H55">
        <v>4096</v>
      </c>
      <c r="I55" t="s">
        <v>2</v>
      </c>
      <c r="J55" t="str">
        <f t="shared" si="0"/>
        <v/>
      </c>
      <c r="K55" t="s">
        <v>2</v>
      </c>
      <c r="M55" t="s">
        <v>2</v>
      </c>
    </row>
    <row r="56" spans="2:13" x14ac:dyDescent="0.2">
      <c r="B56" t="s">
        <v>2</v>
      </c>
      <c r="C56">
        <v>1152</v>
      </c>
      <c r="D56" t="s">
        <v>2</v>
      </c>
      <c r="E56" t="s">
        <v>17</v>
      </c>
      <c r="F56">
        <v>1</v>
      </c>
      <c r="G56" t="s">
        <v>2</v>
      </c>
      <c r="H56">
        <v>36864</v>
      </c>
      <c r="I56" t="s">
        <v>2</v>
      </c>
      <c r="J56" t="str">
        <f t="shared" si="0"/>
        <v/>
      </c>
      <c r="K56" t="s">
        <v>2</v>
      </c>
      <c r="M56" t="s">
        <v>2</v>
      </c>
    </row>
    <row r="57" spans="2:13" x14ac:dyDescent="0.2">
      <c r="B57" t="s">
        <v>2</v>
      </c>
      <c r="C57">
        <v>1280</v>
      </c>
      <c r="D57" t="s">
        <v>2</v>
      </c>
      <c r="E57" t="s">
        <v>17</v>
      </c>
      <c r="F57">
        <v>2</v>
      </c>
      <c r="G57" t="s">
        <v>2</v>
      </c>
      <c r="H57">
        <v>20480</v>
      </c>
      <c r="I57" t="s">
        <v>2</v>
      </c>
      <c r="J57" t="str">
        <f t="shared" si="0"/>
        <v/>
      </c>
      <c r="K57" t="s">
        <v>2</v>
      </c>
      <c r="M57" t="s">
        <v>2</v>
      </c>
    </row>
    <row r="58" spans="2:13" x14ac:dyDescent="0.2">
      <c r="B58" t="s">
        <v>2</v>
      </c>
      <c r="C58">
        <v>1408</v>
      </c>
      <c r="D58" t="s">
        <v>2</v>
      </c>
      <c r="E58" t="s">
        <v>17</v>
      </c>
      <c r="F58">
        <v>3</v>
      </c>
      <c r="G58" t="s">
        <v>2</v>
      </c>
      <c r="H58">
        <v>45056</v>
      </c>
      <c r="I58" t="s">
        <v>2</v>
      </c>
      <c r="J58" t="str">
        <f t="shared" si="0"/>
        <v/>
      </c>
      <c r="K58" t="s">
        <v>2</v>
      </c>
      <c r="M58" t="s">
        <v>2</v>
      </c>
    </row>
    <row r="59" spans="2:13" x14ac:dyDescent="0.2">
      <c r="B59" t="s">
        <v>2</v>
      </c>
      <c r="C59">
        <v>1536</v>
      </c>
      <c r="D59" t="s">
        <v>2</v>
      </c>
      <c r="E59" t="s">
        <v>17</v>
      </c>
      <c r="F59">
        <v>4</v>
      </c>
      <c r="G59" t="s">
        <v>2</v>
      </c>
      <c r="H59">
        <v>12288</v>
      </c>
      <c r="I59" t="s">
        <v>2</v>
      </c>
      <c r="J59" t="str">
        <f t="shared" si="0"/>
        <v/>
      </c>
      <c r="K59" t="s">
        <v>2</v>
      </c>
      <c r="M59" t="s">
        <v>2</v>
      </c>
    </row>
    <row r="60" spans="2:13" x14ac:dyDescent="0.2">
      <c r="B60" t="s">
        <v>2</v>
      </c>
      <c r="C60">
        <v>1664</v>
      </c>
      <c r="D60" t="s">
        <v>2</v>
      </c>
      <c r="E60" t="s">
        <v>17</v>
      </c>
      <c r="F60">
        <v>5</v>
      </c>
      <c r="G60" t="s">
        <v>2</v>
      </c>
      <c r="H60">
        <v>53248</v>
      </c>
      <c r="I60" t="s">
        <v>2</v>
      </c>
      <c r="J60" t="str">
        <f t="shared" si="0"/>
        <v/>
      </c>
      <c r="K60" t="s">
        <v>2</v>
      </c>
      <c r="M60" t="s">
        <v>2</v>
      </c>
    </row>
    <row r="61" spans="2:13" x14ac:dyDescent="0.2">
      <c r="B61" t="s">
        <v>2</v>
      </c>
      <c r="C61">
        <v>1792</v>
      </c>
      <c r="D61" t="s">
        <v>2</v>
      </c>
      <c r="E61" t="s">
        <v>17</v>
      </c>
      <c r="F61">
        <v>6</v>
      </c>
      <c r="G61" t="s">
        <v>2</v>
      </c>
      <c r="H61">
        <v>28672</v>
      </c>
      <c r="I61" t="s">
        <v>2</v>
      </c>
      <c r="J61" t="str">
        <f t="shared" si="0"/>
        <v/>
      </c>
      <c r="K61" t="s">
        <v>2</v>
      </c>
      <c r="M61" t="s">
        <v>2</v>
      </c>
    </row>
    <row r="62" spans="2:13" x14ac:dyDescent="0.2">
      <c r="B62" t="s">
        <v>2</v>
      </c>
      <c r="C62">
        <v>1920</v>
      </c>
      <c r="D62" t="s">
        <v>2</v>
      </c>
      <c r="E62" t="s">
        <v>17</v>
      </c>
      <c r="F62">
        <v>7</v>
      </c>
      <c r="G62" t="s">
        <v>2</v>
      </c>
      <c r="H62">
        <v>61440</v>
      </c>
      <c r="I62" t="s">
        <v>2</v>
      </c>
      <c r="J62" t="str">
        <f t="shared" si="0"/>
        <v/>
      </c>
      <c r="K62" t="s">
        <v>2</v>
      </c>
      <c r="M62" t="s">
        <v>2</v>
      </c>
    </row>
    <row r="63" spans="2:13" x14ac:dyDescent="0.2">
      <c r="B63" t="s">
        <v>2</v>
      </c>
      <c r="C63">
        <v>2048</v>
      </c>
      <c r="D63" t="s">
        <v>2</v>
      </c>
      <c r="E63" t="s">
        <v>17</v>
      </c>
      <c r="F63">
        <v>0</v>
      </c>
      <c r="G63" t="s">
        <v>2</v>
      </c>
      <c r="H63">
        <v>4096</v>
      </c>
      <c r="I63" t="s">
        <v>2</v>
      </c>
      <c r="J63" t="str">
        <f t="shared" si="0"/>
        <v/>
      </c>
      <c r="K63" t="s">
        <v>2</v>
      </c>
      <c r="M63" t="s">
        <v>2</v>
      </c>
    </row>
    <row r="64" spans="2:13" x14ac:dyDescent="0.2">
      <c r="B64" t="s">
        <v>2</v>
      </c>
      <c r="C64">
        <v>2304</v>
      </c>
      <c r="D64" t="s">
        <v>2</v>
      </c>
      <c r="E64" t="s">
        <v>17</v>
      </c>
      <c r="F64">
        <v>1</v>
      </c>
      <c r="G64" t="s">
        <v>2</v>
      </c>
      <c r="H64">
        <v>36864</v>
      </c>
      <c r="I64" t="s">
        <v>2</v>
      </c>
      <c r="J64" t="str">
        <f t="shared" si="0"/>
        <v/>
      </c>
      <c r="K64" t="s">
        <v>2</v>
      </c>
      <c r="M64" t="s">
        <v>2</v>
      </c>
    </row>
    <row r="65" spans="2:13" x14ac:dyDescent="0.2">
      <c r="B65" t="s">
        <v>2</v>
      </c>
      <c r="C65">
        <v>2560</v>
      </c>
      <c r="D65" t="s">
        <v>2</v>
      </c>
      <c r="E65" t="s">
        <v>17</v>
      </c>
      <c r="F65">
        <v>2</v>
      </c>
      <c r="G65" t="s">
        <v>2</v>
      </c>
      <c r="H65">
        <v>20480</v>
      </c>
      <c r="I65" t="s">
        <v>2</v>
      </c>
      <c r="J65" t="str">
        <f t="shared" si="0"/>
        <v/>
      </c>
      <c r="K65" t="s">
        <v>2</v>
      </c>
      <c r="M65" t="s">
        <v>2</v>
      </c>
    </row>
    <row r="66" spans="2:13" x14ac:dyDescent="0.2">
      <c r="B66" t="s">
        <v>2</v>
      </c>
      <c r="C66">
        <v>2816</v>
      </c>
      <c r="D66" t="s">
        <v>2</v>
      </c>
      <c r="E66" t="s">
        <v>17</v>
      </c>
      <c r="F66">
        <v>3</v>
      </c>
      <c r="G66" t="s">
        <v>2</v>
      </c>
      <c r="H66">
        <v>45056</v>
      </c>
      <c r="I66" t="s">
        <v>2</v>
      </c>
      <c r="J66" t="str">
        <f t="shared" si="0"/>
        <v/>
      </c>
      <c r="K66" t="s">
        <v>2</v>
      </c>
      <c r="M66" t="s">
        <v>2</v>
      </c>
    </row>
    <row r="67" spans="2:13" x14ac:dyDescent="0.2">
      <c r="B67" t="s">
        <v>2</v>
      </c>
      <c r="C67">
        <v>3072</v>
      </c>
      <c r="D67" t="s">
        <v>2</v>
      </c>
      <c r="E67" t="s">
        <v>17</v>
      </c>
      <c r="F67">
        <v>4</v>
      </c>
      <c r="G67" t="s">
        <v>2</v>
      </c>
      <c r="H67">
        <v>12288</v>
      </c>
      <c r="I67" t="s">
        <v>2</v>
      </c>
      <c r="J67" t="str">
        <f t="shared" si="0"/>
        <v/>
      </c>
      <c r="K67" t="s">
        <v>2</v>
      </c>
      <c r="M67" t="s">
        <v>2</v>
      </c>
    </row>
    <row r="68" spans="2:13" x14ac:dyDescent="0.2">
      <c r="B68" t="s">
        <v>2</v>
      </c>
      <c r="C68">
        <v>3328</v>
      </c>
      <c r="D68" t="s">
        <v>2</v>
      </c>
      <c r="E68" t="s">
        <v>17</v>
      </c>
      <c r="F68">
        <v>5</v>
      </c>
      <c r="G68" t="s">
        <v>2</v>
      </c>
      <c r="H68">
        <v>53248</v>
      </c>
      <c r="I68" t="s">
        <v>2</v>
      </c>
      <c r="J68" t="str">
        <f t="shared" si="0"/>
        <v/>
      </c>
      <c r="K68" t="s">
        <v>2</v>
      </c>
      <c r="M68" t="s">
        <v>2</v>
      </c>
    </row>
    <row r="69" spans="2:13" x14ac:dyDescent="0.2">
      <c r="B69" t="s">
        <v>2</v>
      </c>
      <c r="C69">
        <v>3584</v>
      </c>
      <c r="D69" t="s">
        <v>2</v>
      </c>
      <c r="E69" t="s">
        <v>17</v>
      </c>
      <c r="F69">
        <v>6</v>
      </c>
      <c r="G69" t="s">
        <v>2</v>
      </c>
      <c r="H69">
        <v>28672</v>
      </c>
      <c r="I69" t="s">
        <v>2</v>
      </c>
      <c r="J69" t="str">
        <f t="shared" si="0"/>
        <v/>
      </c>
      <c r="K69" t="s">
        <v>2</v>
      </c>
      <c r="M69" t="s">
        <v>2</v>
      </c>
    </row>
    <row r="70" spans="2:13" x14ac:dyDescent="0.2">
      <c r="B70" t="s">
        <v>2</v>
      </c>
      <c r="C70">
        <v>3840</v>
      </c>
      <c r="D70" t="s">
        <v>2</v>
      </c>
      <c r="E70" t="s">
        <v>17</v>
      </c>
      <c r="F70">
        <v>7</v>
      </c>
      <c r="G70" t="s">
        <v>2</v>
      </c>
      <c r="H70">
        <v>61440</v>
      </c>
      <c r="I70" t="s">
        <v>2</v>
      </c>
      <c r="J70" t="str">
        <f t="shared" si="0"/>
        <v/>
      </c>
      <c r="K70" t="s">
        <v>2</v>
      </c>
      <c r="M70" t="s">
        <v>2</v>
      </c>
    </row>
    <row r="71" spans="2:13" x14ac:dyDescent="0.2">
      <c r="B71" t="s">
        <v>2</v>
      </c>
      <c r="C71">
        <v>4096</v>
      </c>
      <c r="D71" t="s">
        <v>2</v>
      </c>
      <c r="E71" t="s">
        <v>17</v>
      </c>
      <c r="F71">
        <v>0</v>
      </c>
      <c r="G71" t="s">
        <v>2</v>
      </c>
      <c r="H71">
        <v>4096</v>
      </c>
      <c r="I71" t="s">
        <v>2</v>
      </c>
      <c r="J71">
        <f t="shared" ref="J71:J126" si="1">IF(C71/H71&gt;=1,C71/H71,"")</f>
        <v>1</v>
      </c>
      <c r="K71" t="s">
        <v>2</v>
      </c>
      <c r="L71" s="5"/>
      <c r="M71" t="s">
        <v>2</v>
      </c>
    </row>
    <row r="72" spans="2:13" x14ac:dyDescent="0.2">
      <c r="B72" t="s">
        <v>2</v>
      </c>
      <c r="C72">
        <v>4608</v>
      </c>
      <c r="D72" t="s">
        <v>2</v>
      </c>
      <c r="E72" t="s">
        <v>17</v>
      </c>
      <c r="F72">
        <v>1</v>
      </c>
      <c r="G72" t="s">
        <v>2</v>
      </c>
      <c r="H72">
        <v>36864</v>
      </c>
      <c r="I72" t="s">
        <v>2</v>
      </c>
      <c r="J72" t="str">
        <f t="shared" si="1"/>
        <v/>
      </c>
      <c r="K72" t="s">
        <v>2</v>
      </c>
      <c r="L72" s="5"/>
      <c r="M72" t="s">
        <v>2</v>
      </c>
    </row>
    <row r="73" spans="2:13" x14ac:dyDescent="0.2">
      <c r="B73" t="s">
        <v>2</v>
      </c>
      <c r="C73">
        <v>5120</v>
      </c>
      <c r="D73" t="s">
        <v>2</v>
      </c>
      <c r="E73" t="s">
        <v>17</v>
      </c>
      <c r="F73">
        <v>2</v>
      </c>
      <c r="G73" t="s">
        <v>2</v>
      </c>
      <c r="H73">
        <v>20480</v>
      </c>
      <c r="I73" t="s">
        <v>2</v>
      </c>
      <c r="J73" t="str">
        <f t="shared" si="1"/>
        <v/>
      </c>
      <c r="K73" t="s">
        <v>2</v>
      </c>
      <c r="L73" s="5"/>
      <c r="M73" t="s">
        <v>2</v>
      </c>
    </row>
    <row r="74" spans="2:13" x14ac:dyDescent="0.2">
      <c r="B74" t="s">
        <v>2</v>
      </c>
      <c r="C74">
        <v>5632</v>
      </c>
      <c r="D74" t="s">
        <v>2</v>
      </c>
      <c r="E74" t="s">
        <v>17</v>
      </c>
      <c r="F74">
        <v>3</v>
      </c>
      <c r="G74" t="s">
        <v>2</v>
      </c>
      <c r="H74">
        <v>45056</v>
      </c>
      <c r="I74" t="s">
        <v>2</v>
      </c>
      <c r="J74" t="str">
        <f t="shared" si="1"/>
        <v/>
      </c>
      <c r="K74" t="s">
        <v>2</v>
      </c>
      <c r="L74" s="5"/>
      <c r="M74" t="s">
        <v>2</v>
      </c>
    </row>
    <row r="75" spans="2:13" x14ac:dyDescent="0.2">
      <c r="B75" t="s">
        <v>2</v>
      </c>
      <c r="C75">
        <v>6144</v>
      </c>
      <c r="D75" t="s">
        <v>2</v>
      </c>
      <c r="E75" t="s">
        <v>17</v>
      </c>
      <c r="F75">
        <v>4</v>
      </c>
      <c r="G75" t="s">
        <v>2</v>
      </c>
      <c r="H75">
        <v>12288</v>
      </c>
      <c r="I75" t="s">
        <v>2</v>
      </c>
      <c r="J75" t="str">
        <f t="shared" si="1"/>
        <v/>
      </c>
      <c r="K75" t="s">
        <v>2</v>
      </c>
      <c r="L75" s="5"/>
      <c r="M75" t="s">
        <v>2</v>
      </c>
    </row>
    <row r="76" spans="2:13" x14ac:dyDescent="0.2">
      <c r="B76" t="s">
        <v>2</v>
      </c>
      <c r="C76">
        <v>6656</v>
      </c>
      <c r="D76" t="s">
        <v>2</v>
      </c>
      <c r="E76" t="s">
        <v>17</v>
      </c>
      <c r="F76">
        <v>5</v>
      </c>
      <c r="G76" t="s">
        <v>2</v>
      </c>
      <c r="H76">
        <v>53248</v>
      </c>
      <c r="I76" t="s">
        <v>2</v>
      </c>
      <c r="J76" t="str">
        <f t="shared" si="1"/>
        <v/>
      </c>
      <c r="K76" t="s">
        <v>2</v>
      </c>
      <c r="L76" s="5"/>
      <c r="M76" t="s">
        <v>2</v>
      </c>
    </row>
    <row r="77" spans="2:13" x14ac:dyDescent="0.2">
      <c r="B77" t="s">
        <v>2</v>
      </c>
      <c r="C77">
        <v>7168</v>
      </c>
      <c r="D77" t="s">
        <v>2</v>
      </c>
      <c r="E77" t="s">
        <v>17</v>
      </c>
      <c r="F77">
        <v>6</v>
      </c>
      <c r="G77" t="s">
        <v>2</v>
      </c>
      <c r="H77">
        <v>28672</v>
      </c>
      <c r="I77" t="s">
        <v>2</v>
      </c>
      <c r="J77" t="str">
        <f t="shared" si="1"/>
        <v/>
      </c>
      <c r="K77" t="s">
        <v>2</v>
      </c>
      <c r="L77" s="5"/>
      <c r="M77" t="s">
        <v>2</v>
      </c>
    </row>
    <row r="78" spans="2:13" x14ac:dyDescent="0.2">
      <c r="B78" t="s">
        <v>2</v>
      </c>
      <c r="C78">
        <v>7680</v>
      </c>
      <c r="D78" t="s">
        <v>2</v>
      </c>
      <c r="E78" t="s">
        <v>17</v>
      </c>
      <c r="F78">
        <v>7</v>
      </c>
      <c r="G78" t="s">
        <v>2</v>
      </c>
      <c r="H78">
        <v>61440</v>
      </c>
      <c r="I78" t="s">
        <v>2</v>
      </c>
      <c r="J78" t="str">
        <f t="shared" si="1"/>
        <v/>
      </c>
      <c r="K78" t="s">
        <v>2</v>
      </c>
      <c r="L78" s="5"/>
      <c r="M78" t="s">
        <v>2</v>
      </c>
    </row>
    <row r="79" spans="2:13" x14ac:dyDescent="0.2">
      <c r="B79" t="s">
        <v>2</v>
      </c>
      <c r="C79">
        <v>8192</v>
      </c>
      <c r="D79" t="s">
        <v>2</v>
      </c>
      <c r="E79" t="s">
        <v>17</v>
      </c>
      <c r="F79">
        <v>0</v>
      </c>
      <c r="G79" t="s">
        <v>2</v>
      </c>
      <c r="H79">
        <v>4096</v>
      </c>
      <c r="I79" t="s">
        <v>2</v>
      </c>
      <c r="J79">
        <f t="shared" si="1"/>
        <v>2</v>
      </c>
      <c r="K79" t="s">
        <v>2</v>
      </c>
      <c r="L79" s="5">
        <f>((16*1024*1024-4096*3)-FLOOR((16*1024*1024-4096*3)/(C79), 1)*C79)/(16*1024*1024)</f>
        <v>2.44140625E-4</v>
      </c>
      <c r="M79" t="s">
        <v>2</v>
      </c>
    </row>
    <row r="80" spans="2:13" x14ac:dyDescent="0.2">
      <c r="B80" t="s">
        <v>2</v>
      </c>
      <c r="C80">
        <v>9216</v>
      </c>
      <c r="D80" t="s">
        <v>2</v>
      </c>
      <c r="E80" t="s">
        <v>17</v>
      </c>
      <c r="F80">
        <v>1</v>
      </c>
      <c r="G80" t="s">
        <v>2</v>
      </c>
      <c r="H80">
        <v>36864</v>
      </c>
      <c r="I80" t="s">
        <v>2</v>
      </c>
      <c r="J80" t="str">
        <f t="shared" si="1"/>
        <v/>
      </c>
      <c r="K80" t="s">
        <v>2</v>
      </c>
      <c r="L80" s="5"/>
      <c r="M80" t="s">
        <v>2</v>
      </c>
    </row>
    <row r="81" spans="2:13" x14ac:dyDescent="0.2">
      <c r="B81" t="s">
        <v>2</v>
      </c>
      <c r="C81">
        <v>10240</v>
      </c>
      <c r="D81" t="s">
        <v>2</v>
      </c>
      <c r="E81" t="s">
        <v>17</v>
      </c>
      <c r="F81">
        <v>2</v>
      </c>
      <c r="G81" t="s">
        <v>2</v>
      </c>
      <c r="H81">
        <v>20480</v>
      </c>
      <c r="I81" t="s">
        <v>2</v>
      </c>
      <c r="J81" t="str">
        <f t="shared" si="1"/>
        <v/>
      </c>
      <c r="K81" t="s">
        <v>2</v>
      </c>
      <c r="L81" s="5"/>
      <c r="M81" t="s">
        <v>2</v>
      </c>
    </row>
    <row r="82" spans="2:13" x14ac:dyDescent="0.2">
      <c r="B82" t="s">
        <v>2</v>
      </c>
      <c r="C82">
        <v>11264</v>
      </c>
      <c r="D82" t="s">
        <v>2</v>
      </c>
      <c r="E82" t="s">
        <v>17</v>
      </c>
      <c r="F82">
        <v>3</v>
      </c>
      <c r="G82" t="s">
        <v>2</v>
      </c>
      <c r="H82">
        <v>45056</v>
      </c>
      <c r="I82" t="s">
        <v>2</v>
      </c>
      <c r="J82" t="str">
        <f t="shared" si="1"/>
        <v/>
      </c>
      <c r="K82" t="s">
        <v>2</v>
      </c>
      <c r="L82" s="5"/>
      <c r="M82" t="s">
        <v>2</v>
      </c>
    </row>
    <row r="83" spans="2:13" x14ac:dyDescent="0.2">
      <c r="B83" t="s">
        <v>2</v>
      </c>
      <c r="C83">
        <v>12288</v>
      </c>
      <c r="D83" t="s">
        <v>2</v>
      </c>
      <c r="E83" t="s">
        <v>17</v>
      </c>
      <c r="F83">
        <v>4</v>
      </c>
      <c r="G83" t="s">
        <v>2</v>
      </c>
      <c r="H83">
        <v>12288</v>
      </c>
      <c r="I83" t="s">
        <v>2</v>
      </c>
      <c r="J83">
        <f t="shared" si="1"/>
        <v>1</v>
      </c>
      <c r="K83" t="s">
        <v>2</v>
      </c>
      <c r="L83" s="5"/>
      <c r="M83" t="s">
        <v>2</v>
      </c>
    </row>
    <row r="84" spans="2:13" x14ac:dyDescent="0.2">
      <c r="B84" t="s">
        <v>2</v>
      </c>
      <c r="C84">
        <v>13312</v>
      </c>
      <c r="D84" t="s">
        <v>2</v>
      </c>
      <c r="E84" t="s">
        <v>17</v>
      </c>
      <c r="F84">
        <v>5</v>
      </c>
      <c r="G84" t="s">
        <v>2</v>
      </c>
      <c r="H84">
        <v>53248</v>
      </c>
      <c r="I84" t="s">
        <v>2</v>
      </c>
      <c r="J84" t="str">
        <f t="shared" si="1"/>
        <v/>
      </c>
      <c r="K84" t="s">
        <v>2</v>
      </c>
      <c r="L84" s="5"/>
      <c r="M84" t="s">
        <v>2</v>
      </c>
    </row>
    <row r="85" spans="2:13" x14ac:dyDescent="0.2">
      <c r="B85" t="s">
        <v>2</v>
      </c>
      <c r="C85">
        <v>14336</v>
      </c>
      <c r="D85" t="s">
        <v>2</v>
      </c>
      <c r="E85" t="s">
        <v>17</v>
      </c>
      <c r="F85">
        <v>6</v>
      </c>
      <c r="G85" t="s">
        <v>2</v>
      </c>
      <c r="H85">
        <v>28672</v>
      </c>
      <c r="I85" t="s">
        <v>2</v>
      </c>
      <c r="J85" t="str">
        <f t="shared" si="1"/>
        <v/>
      </c>
      <c r="K85" t="s">
        <v>2</v>
      </c>
      <c r="L85" s="5"/>
      <c r="M85" t="s">
        <v>2</v>
      </c>
    </row>
    <row r="86" spans="2:13" x14ac:dyDescent="0.2">
      <c r="B86" t="s">
        <v>2</v>
      </c>
      <c r="C86">
        <v>15360</v>
      </c>
      <c r="D86" t="s">
        <v>2</v>
      </c>
      <c r="E86" t="s">
        <v>17</v>
      </c>
      <c r="F86">
        <v>7</v>
      </c>
      <c r="G86" t="s">
        <v>2</v>
      </c>
      <c r="H86">
        <v>61440</v>
      </c>
      <c r="I86" t="s">
        <v>2</v>
      </c>
      <c r="J86" t="str">
        <f t="shared" si="1"/>
        <v/>
      </c>
      <c r="K86" t="s">
        <v>2</v>
      </c>
      <c r="L86" s="5"/>
      <c r="M86" t="s">
        <v>2</v>
      </c>
    </row>
    <row r="87" spans="2:13" x14ac:dyDescent="0.2">
      <c r="B87" t="s">
        <v>2</v>
      </c>
      <c r="C87">
        <v>16384</v>
      </c>
      <c r="D87" t="s">
        <v>2</v>
      </c>
      <c r="E87" t="s">
        <v>17</v>
      </c>
      <c r="F87">
        <v>0</v>
      </c>
      <c r="G87" t="s">
        <v>2</v>
      </c>
      <c r="H87">
        <v>4096</v>
      </c>
      <c r="I87" t="s">
        <v>2</v>
      </c>
      <c r="J87">
        <f t="shared" si="1"/>
        <v>4</v>
      </c>
      <c r="K87" t="s">
        <v>2</v>
      </c>
      <c r="L87" s="5">
        <f>((16*1024*1024-4096*3)-FLOOR((16*1024*1024-4096*3)/(C87), 1)*C87)/(16*1024*1024)</f>
        <v>2.44140625E-4</v>
      </c>
      <c r="M87" t="s">
        <v>2</v>
      </c>
    </row>
    <row r="88" spans="2:13" x14ac:dyDescent="0.2">
      <c r="B88" t="s">
        <v>2</v>
      </c>
      <c r="C88">
        <v>18432</v>
      </c>
      <c r="D88" t="s">
        <v>2</v>
      </c>
      <c r="E88" t="s">
        <v>17</v>
      </c>
      <c r="F88">
        <v>1</v>
      </c>
      <c r="G88" t="s">
        <v>2</v>
      </c>
      <c r="H88">
        <v>36864</v>
      </c>
      <c r="I88" t="s">
        <v>2</v>
      </c>
      <c r="J88" t="str">
        <f t="shared" si="1"/>
        <v/>
      </c>
      <c r="K88" t="s">
        <v>2</v>
      </c>
      <c r="L88" s="5"/>
      <c r="M88" t="s">
        <v>2</v>
      </c>
    </row>
    <row r="89" spans="2:13" x14ac:dyDescent="0.2">
      <c r="B89" t="s">
        <v>2</v>
      </c>
      <c r="C89">
        <v>20480</v>
      </c>
      <c r="D89" t="s">
        <v>2</v>
      </c>
      <c r="E89" t="s">
        <v>17</v>
      </c>
      <c r="F89">
        <v>2</v>
      </c>
      <c r="G89" t="s">
        <v>2</v>
      </c>
      <c r="H89">
        <v>20480</v>
      </c>
      <c r="I89" t="s">
        <v>2</v>
      </c>
      <c r="J89">
        <f t="shared" si="1"/>
        <v>1</v>
      </c>
      <c r="K89" t="s">
        <v>2</v>
      </c>
      <c r="L89" s="5"/>
      <c r="M89" t="s">
        <v>2</v>
      </c>
    </row>
    <row r="90" spans="2:13" x14ac:dyDescent="0.2">
      <c r="B90" t="s">
        <v>2</v>
      </c>
      <c r="C90">
        <v>22528</v>
      </c>
      <c r="D90" t="s">
        <v>2</v>
      </c>
      <c r="E90" t="s">
        <v>17</v>
      </c>
      <c r="F90">
        <v>3</v>
      </c>
      <c r="G90" t="s">
        <v>2</v>
      </c>
      <c r="H90">
        <v>45056</v>
      </c>
      <c r="I90" t="s">
        <v>2</v>
      </c>
      <c r="J90" t="str">
        <f t="shared" si="1"/>
        <v/>
      </c>
      <c r="K90" t="s">
        <v>2</v>
      </c>
      <c r="L90" s="5"/>
      <c r="M90" t="s">
        <v>2</v>
      </c>
    </row>
    <row r="91" spans="2:13" x14ac:dyDescent="0.2">
      <c r="B91" t="s">
        <v>2</v>
      </c>
      <c r="C91">
        <v>24576</v>
      </c>
      <c r="D91" t="s">
        <v>2</v>
      </c>
      <c r="E91" t="s">
        <v>17</v>
      </c>
      <c r="F91">
        <v>4</v>
      </c>
      <c r="G91" t="s">
        <v>2</v>
      </c>
      <c r="H91">
        <v>12288</v>
      </c>
      <c r="I91" t="s">
        <v>2</v>
      </c>
      <c r="J91">
        <f t="shared" si="1"/>
        <v>2</v>
      </c>
      <c r="K91" t="s">
        <v>2</v>
      </c>
      <c r="L91" s="5">
        <f t="shared" ref="L91" si="2">((16*1024*1024-4096)-FLOOR((16*1024*1024-4096)/(C91), 1)*C91)/(16*1024*1024)</f>
        <v>7.32421875E-4</v>
      </c>
      <c r="M91" t="s">
        <v>2</v>
      </c>
    </row>
    <row r="92" spans="2:13" x14ac:dyDescent="0.2">
      <c r="B92" t="s">
        <v>2</v>
      </c>
      <c r="C92">
        <v>26624</v>
      </c>
      <c r="D92" t="s">
        <v>2</v>
      </c>
      <c r="E92" t="s">
        <v>17</v>
      </c>
      <c r="F92">
        <v>5</v>
      </c>
      <c r="G92" t="s">
        <v>2</v>
      </c>
      <c r="H92">
        <v>53248</v>
      </c>
      <c r="I92" t="s">
        <v>2</v>
      </c>
      <c r="J92" t="str">
        <f t="shared" si="1"/>
        <v/>
      </c>
      <c r="K92" t="s">
        <v>2</v>
      </c>
      <c r="L92" s="5"/>
      <c r="M92" t="s">
        <v>2</v>
      </c>
    </row>
    <row r="93" spans="2:13" x14ac:dyDescent="0.2">
      <c r="B93" t="s">
        <v>2</v>
      </c>
      <c r="C93">
        <v>28672</v>
      </c>
      <c r="D93" t="s">
        <v>2</v>
      </c>
      <c r="E93" t="s">
        <v>17</v>
      </c>
      <c r="F93">
        <v>6</v>
      </c>
      <c r="G93" t="s">
        <v>2</v>
      </c>
      <c r="H93">
        <v>28672</v>
      </c>
      <c r="I93" t="s">
        <v>2</v>
      </c>
      <c r="J93">
        <f t="shared" si="1"/>
        <v>1</v>
      </c>
      <c r="K93" t="s">
        <v>2</v>
      </c>
      <c r="L93" s="5"/>
      <c r="M93" t="s">
        <v>2</v>
      </c>
    </row>
    <row r="94" spans="2:13" x14ac:dyDescent="0.2">
      <c r="B94" t="s">
        <v>2</v>
      </c>
      <c r="C94">
        <v>30720</v>
      </c>
      <c r="D94" t="s">
        <v>2</v>
      </c>
      <c r="E94" t="s">
        <v>17</v>
      </c>
      <c r="F94">
        <v>7</v>
      </c>
      <c r="G94" t="s">
        <v>2</v>
      </c>
      <c r="H94">
        <v>61440</v>
      </c>
      <c r="I94" t="s">
        <v>2</v>
      </c>
      <c r="J94" t="str">
        <f t="shared" si="1"/>
        <v/>
      </c>
      <c r="K94" t="s">
        <v>2</v>
      </c>
      <c r="L94" s="5"/>
      <c r="M94" t="s">
        <v>2</v>
      </c>
    </row>
    <row r="95" spans="2:13" x14ac:dyDescent="0.2">
      <c r="B95" t="s">
        <v>2</v>
      </c>
      <c r="C95">
        <v>32768</v>
      </c>
      <c r="D95" t="s">
        <v>2</v>
      </c>
      <c r="E95" t="s">
        <v>17</v>
      </c>
      <c r="F95">
        <v>0</v>
      </c>
      <c r="G95" t="s">
        <v>2</v>
      </c>
      <c r="H95">
        <v>4096</v>
      </c>
      <c r="I95" t="s">
        <v>2</v>
      </c>
      <c r="J95">
        <f t="shared" si="1"/>
        <v>8</v>
      </c>
      <c r="K95" t="s">
        <v>2</v>
      </c>
      <c r="L95" s="5">
        <f>((16*1024*1024-4096*3)-FLOOR((16*1024*1024-4096*3)/(C95), 1)*C95)/(16*1024*1024)</f>
        <v>1.220703125E-3</v>
      </c>
      <c r="M95" t="s">
        <v>2</v>
      </c>
    </row>
    <row r="96" spans="2:13" x14ac:dyDescent="0.2">
      <c r="B96" t="s">
        <v>2</v>
      </c>
      <c r="C96">
        <v>36864</v>
      </c>
      <c r="D96" t="s">
        <v>2</v>
      </c>
      <c r="E96" t="s">
        <v>17</v>
      </c>
      <c r="F96">
        <v>1</v>
      </c>
      <c r="G96" t="s">
        <v>2</v>
      </c>
      <c r="H96">
        <v>36864</v>
      </c>
      <c r="I96" t="s">
        <v>2</v>
      </c>
      <c r="J96">
        <f t="shared" si="1"/>
        <v>1</v>
      </c>
      <c r="K96" t="s">
        <v>2</v>
      </c>
      <c r="L96" s="5"/>
      <c r="M96" t="s">
        <v>2</v>
      </c>
    </row>
    <row r="97" spans="2:13" x14ac:dyDescent="0.2">
      <c r="B97" t="s">
        <v>2</v>
      </c>
      <c r="C97">
        <v>40960</v>
      </c>
      <c r="D97" t="s">
        <v>2</v>
      </c>
      <c r="E97" t="s">
        <v>17</v>
      </c>
      <c r="F97">
        <v>2</v>
      </c>
      <c r="G97" t="s">
        <v>2</v>
      </c>
      <c r="H97">
        <v>20480</v>
      </c>
      <c r="I97" t="s">
        <v>2</v>
      </c>
      <c r="J97">
        <f t="shared" si="1"/>
        <v>2</v>
      </c>
      <c r="K97" t="s">
        <v>2</v>
      </c>
      <c r="L97" s="5">
        <f t="shared" ref="L97:L101" si="3">((16*1024*1024-4096)-FLOOR((16*1024*1024-4096)/(C97), 1)*C97)/(16*1024*1024)</f>
        <v>1.220703125E-3</v>
      </c>
      <c r="M97" t="s">
        <v>2</v>
      </c>
    </row>
    <row r="98" spans="2:13" x14ac:dyDescent="0.2">
      <c r="B98" t="s">
        <v>2</v>
      </c>
      <c r="C98">
        <v>45056</v>
      </c>
      <c r="D98" t="s">
        <v>2</v>
      </c>
      <c r="E98" t="s">
        <v>17</v>
      </c>
      <c r="F98">
        <v>3</v>
      </c>
      <c r="G98" t="s">
        <v>2</v>
      </c>
      <c r="H98">
        <v>45056</v>
      </c>
      <c r="I98" t="s">
        <v>2</v>
      </c>
      <c r="J98">
        <f t="shared" si="1"/>
        <v>1</v>
      </c>
      <c r="K98" t="s">
        <v>2</v>
      </c>
      <c r="L98" s="5"/>
      <c r="M98" t="s">
        <v>2</v>
      </c>
    </row>
    <row r="99" spans="2:13" x14ac:dyDescent="0.2">
      <c r="B99" t="s">
        <v>2</v>
      </c>
      <c r="C99">
        <v>49152</v>
      </c>
      <c r="D99" t="s">
        <v>2</v>
      </c>
      <c r="E99" t="s">
        <v>17</v>
      </c>
      <c r="F99">
        <v>4</v>
      </c>
      <c r="G99" t="s">
        <v>2</v>
      </c>
      <c r="H99">
        <v>12288</v>
      </c>
      <c r="I99" t="s">
        <v>2</v>
      </c>
      <c r="J99">
        <f t="shared" si="1"/>
        <v>4</v>
      </c>
      <c r="K99" t="s">
        <v>2</v>
      </c>
      <c r="L99" s="5">
        <f t="shared" si="3"/>
        <v>7.32421875E-4</v>
      </c>
      <c r="M99" t="s">
        <v>2</v>
      </c>
    </row>
    <row r="100" spans="2:13" x14ac:dyDescent="0.2">
      <c r="B100" t="s">
        <v>2</v>
      </c>
      <c r="C100">
        <v>53248</v>
      </c>
      <c r="D100" t="s">
        <v>2</v>
      </c>
      <c r="E100" t="s">
        <v>17</v>
      </c>
      <c r="F100">
        <v>5</v>
      </c>
      <c r="G100" t="s">
        <v>2</v>
      </c>
      <c r="H100">
        <v>53248</v>
      </c>
      <c r="I100" t="s">
        <v>2</v>
      </c>
      <c r="J100">
        <f t="shared" si="1"/>
        <v>1</v>
      </c>
      <c r="K100" t="s">
        <v>2</v>
      </c>
      <c r="L100" s="5"/>
      <c r="M100" t="s">
        <v>2</v>
      </c>
    </row>
    <row r="101" spans="2:13" x14ac:dyDescent="0.2">
      <c r="B101" t="s">
        <v>2</v>
      </c>
      <c r="C101">
        <v>57344</v>
      </c>
      <c r="D101" t="s">
        <v>2</v>
      </c>
      <c r="E101" t="s">
        <v>17</v>
      </c>
      <c r="F101">
        <v>6</v>
      </c>
      <c r="G101" t="s">
        <v>2</v>
      </c>
      <c r="H101">
        <v>28672</v>
      </c>
      <c r="I101" t="s">
        <v>2</v>
      </c>
      <c r="J101">
        <f t="shared" si="1"/>
        <v>2</v>
      </c>
      <c r="K101" t="s">
        <v>2</v>
      </c>
      <c r="L101" s="5">
        <f t="shared" si="3"/>
        <v>1.708984375E-3</v>
      </c>
      <c r="M101" t="s">
        <v>2</v>
      </c>
    </row>
    <row r="102" spans="2:13" x14ac:dyDescent="0.2">
      <c r="B102" t="s">
        <v>2</v>
      </c>
      <c r="C102">
        <v>61440</v>
      </c>
      <c r="D102" t="s">
        <v>2</v>
      </c>
      <c r="E102" t="s">
        <v>17</v>
      </c>
      <c r="F102">
        <v>7</v>
      </c>
      <c r="G102" t="s">
        <v>2</v>
      </c>
      <c r="H102">
        <v>61440</v>
      </c>
      <c r="I102" t="s">
        <v>2</v>
      </c>
      <c r="J102">
        <f t="shared" si="1"/>
        <v>1</v>
      </c>
      <c r="K102" t="s">
        <v>2</v>
      </c>
      <c r="L102" s="5"/>
      <c r="M102" t="s">
        <v>2</v>
      </c>
    </row>
    <row r="103" spans="2:13" x14ac:dyDescent="0.2">
      <c r="B103" t="s">
        <v>2</v>
      </c>
      <c r="C103">
        <v>65536</v>
      </c>
      <c r="D103" t="s">
        <v>2</v>
      </c>
      <c r="E103" t="s">
        <v>17</v>
      </c>
      <c r="F103">
        <v>0</v>
      </c>
      <c r="G103" t="s">
        <v>2</v>
      </c>
      <c r="H103">
        <v>4096</v>
      </c>
      <c r="I103" t="s">
        <v>2</v>
      </c>
      <c r="J103">
        <f t="shared" si="1"/>
        <v>16</v>
      </c>
      <c r="K103" t="s">
        <v>2</v>
      </c>
      <c r="L103" s="5">
        <f>((16*1024*1024-4096*3)-FLOOR((16*1024*1024-4096*3)/(C103), 1)*C103)/(16*1024*1024)</f>
        <v>3.173828125E-3</v>
      </c>
      <c r="M103" t="s">
        <v>2</v>
      </c>
    </row>
    <row r="104" spans="2:13" x14ac:dyDescent="0.2">
      <c r="B104" t="s">
        <v>2</v>
      </c>
      <c r="C104">
        <v>73728</v>
      </c>
      <c r="D104" t="s">
        <v>2</v>
      </c>
      <c r="E104" t="s">
        <v>17</v>
      </c>
      <c r="F104">
        <v>1</v>
      </c>
      <c r="G104" t="s">
        <v>2</v>
      </c>
      <c r="H104">
        <v>36864</v>
      </c>
      <c r="I104" t="s">
        <v>2</v>
      </c>
      <c r="J104">
        <f t="shared" si="1"/>
        <v>2</v>
      </c>
      <c r="K104" t="s">
        <v>2</v>
      </c>
      <c r="L104" s="5">
        <f>((16*1024*1024-4096)-FLOOR((16*1024*1024-4096)/(C104), 1)*C104)/(16*1024*1024)</f>
        <v>2.197265625E-3</v>
      </c>
      <c r="M104" t="s">
        <v>2</v>
      </c>
    </row>
    <row r="105" spans="2:13" x14ac:dyDescent="0.2">
      <c r="B105" t="s">
        <v>2</v>
      </c>
      <c r="C105">
        <v>81920</v>
      </c>
      <c r="D105" t="s">
        <v>2</v>
      </c>
      <c r="E105" t="s">
        <v>17</v>
      </c>
      <c r="F105">
        <v>2</v>
      </c>
      <c r="G105" t="s">
        <v>2</v>
      </c>
      <c r="H105">
        <v>20480</v>
      </c>
      <c r="I105" t="s">
        <v>2</v>
      </c>
      <c r="J105">
        <f t="shared" si="1"/>
        <v>4</v>
      </c>
      <c r="K105" t="s">
        <v>2</v>
      </c>
      <c r="L105" s="5">
        <f t="shared" ref="L105:L110" si="4">((16*1024*1024-4096)-FLOOR((16*1024*1024-4096)/(C105), 1)*C105)/(16*1024*1024)</f>
        <v>3.662109375E-3</v>
      </c>
      <c r="M105" t="s">
        <v>2</v>
      </c>
    </row>
    <row r="106" spans="2:13" x14ac:dyDescent="0.2">
      <c r="B106" t="s">
        <v>2</v>
      </c>
      <c r="C106">
        <v>90112</v>
      </c>
      <c r="D106" t="s">
        <v>2</v>
      </c>
      <c r="E106" t="s">
        <v>17</v>
      </c>
      <c r="F106">
        <v>3</v>
      </c>
      <c r="G106" t="s">
        <v>2</v>
      </c>
      <c r="H106">
        <v>45056</v>
      </c>
      <c r="I106" t="s">
        <v>2</v>
      </c>
      <c r="J106">
        <f t="shared" si="1"/>
        <v>2</v>
      </c>
      <c r="K106" t="s">
        <v>2</v>
      </c>
      <c r="L106" s="5"/>
      <c r="M106" t="s">
        <v>2</v>
      </c>
    </row>
    <row r="107" spans="2:13" x14ac:dyDescent="0.2">
      <c r="B107" t="s">
        <v>2</v>
      </c>
      <c r="C107">
        <v>98304</v>
      </c>
      <c r="D107" t="s">
        <v>2</v>
      </c>
      <c r="E107" t="s">
        <v>17</v>
      </c>
      <c r="F107">
        <v>4</v>
      </c>
      <c r="G107" t="s">
        <v>2</v>
      </c>
      <c r="H107">
        <v>12288</v>
      </c>
      <c r="I107" t="s">
        <v>2</v>
      </c>
      <c r="J107">
        <f t="shared" si="1"/>
        <v>8</v>
      </c>
      <c r="K107" t="s">
        <v>2</v>
      </c>
      <c r="L107" s="5">
        <f t="shared" si="4"/>
        <v>3.662109375E-3</v>
      </c>
      <c r="M107" t="s">
        <v>2</v>
      </c>
    </row>
    <row r="108" spans="2:13" x14ac:dyDescent="0.2">
      <c r="B108" t="s">
        <v>2</v>
      </c>
      <c r="C108">
        <v>106496</v>
      </c>
      <c r="D108" t="s">
        <v>2</v>
      </c>
      <c r="E108" t="s">
        <v>17</v>
      </c>
      <c r="F108">
        <v>5</v>
      </c>
      <c r="G108" t="s">
        <v>2</v>
      </c>
      <c r="H108">
        <v>53248</v>
      </c>
      <c r="I108" t="s">
        <v>2</v>
      </c>
      <c r="J108">
        <f t="shared" si="1"/>
        <v>2</v>
      </c>
      <c r="K108" t="s">
        <v>2</v>
      </c>
      <c r="L108" s="5">
        <f t="shared" si="4"/>
        <v>3.173828125E-3</v>
      </c>
      <c r="M108" t="s">
        <v>2</v>
      </c>
    </row>
    <row r="109" spans="2:13" x14ac:dyDescent="0.2">
      <c r="B109" t="s">
        <v>2</v>
      </c>
      <c r="C109">
        <v>114688</v>
      </c>
      <c r="D109" t="s">
        <v>2</v>
      </c>
      <c r="E109" t="s">
        <v>17</v>
      </c>
      <c r="F109">
        <v>6</v>
      </c>
      <c r="G109" t="s">
        <v>2</v>
      </c>
      <c r="H109">
        <v>28672</v>
      </c>
      <c r="I109" t="s">
        <v>2</v>
      </c>
      <c r="J109">
        <f t="shared" si="1"/>
        <v>4</v>
      </c>
      <c r="K109" t="s">
        <v>2</v>
      </c>
      <c r="L109" s="5">
        <f t="shared" si="4"/>
        <v>1.708984375E-3</v>
      </c>
      <c r="M109" t="s">
        <v>2</v>
      </c>
    </row>
    <row r="110" spans="2:13" x14ac:dyDescent="0.2">
      <c r="B110" t="s">
        <v>2</v>
      </c>
      <c r="C110">
        <v>122880</v>
      </c>
      <c r="D110" t="s">
        <v>2</v>
      </c>
      <c r="E110" t="s">
        <v>17</v>
      </c>
      <c r="F110">
        <v>7</v>
      </c>
      <c r="G110" t="s">
        <v>2</v>
      </c>
      <c r="H110">
        <v>61440</v>
      </c>
      <c r="I110" t="s">
        <v>2</v>
      </c>
      <c r="J110">
        <f t="shared" si="1"/>
        <v>2</v>
      </c>
      <c r="K110" t="s">
        <v>2</v>
      </c>
      <c r="L110" s="5">
        <f t="shared" si="4"/>
        <v>3.662109375E-3</v>
      </c>
      <c r="M110" t="s">
        <v>2</v>
      </c>
    </row>
    <row r="111" spans="2:13" x14ac:dyDescent="0.2">
      <c r="B111" t="s">
        <v>2</v>
      </c>
      <c r="C111">
        <v>131072</v>
      </c>
      <c r="D111" t="s">
        <v>2</v>
      </c>
      <c r="E111" t="s">
        <v>17</v>
      </c>
      <c r="F111">
        <v>0</v>
      </c>
      <c r="G111" t="s">
        <v>2</v>
      </c>
      <c r="H111">
        <v>4096</v>
      </c>
      <c r="I111" t="s">
        <v>2</v>
      </c>
      <c r="J111">
        <f t="shared" si="1"/>
        <v>32</v>
      </c>
      <c r="K111" t="s">
        <v>2</v>
      </c>
      <c r="L111" s="5">
        <f>((16*1024*1024-4096*3)-FLOOR((16*1024*1024-4096*3)/(C111), 1)*C111)/(16*1024*1024)</f>
        <v>7.080078125E-3</v>
      </c>
      <c r="M111" t="s">
        <v>2</v>
      </c>
    </row>
    <row r="112" spans="2:13" x14ac:dyDescent="0.2">
      <c r="B112" t="s">
        <v>2</v>
      </c>
      <c r="C112">
        <v>147456</v>
      </c>
      <c r="D112" t="s">
        <v>2</v>
      </c>
      <c r="E112" t="s">
        <v>17</v>
      </c>
      <c r="F112">
        <v>1</v>
      </c>
      <c r="G112" t="s">
        <v>2</v>
      </c>
      <c r="H112">
        <v>36864</v>
      </c>
      <c r="I112" t="s">
        <v>2</v>
      </c>
      <c r="J112">
        <f t="shared" si="1"/>
        <v>4</v>
      </c>
      <c r="K112" t="s">
        <v>2</v>
      </c>
      <c r="L112" s="5">
        <f>((16*1024*1024-4096)-FLOOR((16*1024*1024-4096)/(C112), 1)*C112)/(16*1024*1024)</f>
        <v>6.591796875E-3</v>
      </c>
      <c r="M112" t="s">
        <v>2</v>
      </c>
    </row>
    <row r="113" spans="2:13" x14ac:dyDescent="0.2">
      <c r="B113" t="s">
        <v>2</v>
      </c>
      <c r="C113">
        <v>163840</v>
      </c>
      <c r="D113" t="s">
        <v>2</v>
      </c>
      <c r="E113" t="s">
        <v>17</v>
      </c>
      <c r="F113">
        <v>2</v>
      </c>
      <c r="G113" t="s">
        <v>2</v>
      </c>
      <c r="H113">
        <v>20480</v>
      </c>
      <c r="I113" t="s">
        <v>2</v>
      </c>
      <c r="J113">
        <f t="shared" si="1"/>
        <v>8</v>
      </c>
      <c r="K113" t="s">
        <v>2</v>
      </c>
      <c r="L113" s="5">
        <f t="shared" ref="L113:L118" si="5">((16*1024*1024-4096)-FLOOR((16*1024*1024-4096)/(C113), 1)*C113)/(16*1024*1024)</f>
        <v>3.662109375E-3</v>
      </c>
      <c r="M113" t="s">
        <v>2</v>
      </c>
    </row>
    <row r="114" spans="2:13" x14ac:dyDescent="0.2">
      <c r="B114" t="s">
        <v>2</v>
      </c>
      <c r="C114">
        <v>180224</v>
      </c>
      <c r="D114" t="s">
        <v>2</v>
      </c>
      <c r="E114" t="s">
        <v>17</v>
      </c>
      <c r="F114">
        <v>3</v>
      </c>
      <c r="G114" t="s">
        <v>2</v>
      </c>
      <c r="H114">
        <v>45056</v>
      </c>
      <c r="I114" t="s">
        <v>2</v>
      </c>
      <c r="J114">
        <f t="shared" si="1"/>
        <v>4</v>
      </c>
      <c r="K114" t="s">
        <v>2</v>
      </c>
      <c r="L114" s="5"/>
      <c r="M114" t="s">
        <v>2</v>
      </c>
    </row>
    <row r="115" spans="2:13" x14ac:dyDescent="0.2">
      <c r="B115" t="s">
        <v>2</v>
      </c>
      <c r="C115">
        <v>196608</v>
      </c>
      <c r="D115" t="s">
        <v>2</v>
      </c>
      <c r="E115" t="s">
        <v>17</v>
      </c>
      <c r="F115">
        <v>4</v>
      </c>
      <c r="G115" t="s">
        <v>2</v>
      </c>
      <c r="H115">
        <v>12288</v>
      </c>
      <c r="I115" t="s">
        <v>2</v>
      </c>
      <c r="J115">
        <f t="shared" si="1"/>
        <v>16</v>
      </c>
      <c r="K115" t="s">
        <v>2</v>
      </c>
      <c r="L115" s="5">
        <f t="shared" si="5"/>
        <v>3.662109375E-3</v>
      </c>
      <c r="M115" t="s">
        <v>2</v>
      </c>
    </row>
    <row r="116" spans="2:13" x14ac:dyDescent="0.2">
      <c r="B116" t="s">
        <v>2</v>
      </c>
      <c r="C116">
        <v>212992</v>
      </c>
      <c r="D116" t="s">
        <v>2</v>
      </c>
      <c r="E116" t="s">
        <v>17</v>
      </c>
      <c r="F116">
        <v>5</v>
      </c>
      <c r="G116" t="s">
        <v>2</v>
      </c>
      <c r="H116">
        <v>53248</v>
      </c>
      <c r="I116" t="s">
        <v>2</v>
      </c>
      <c r="J116">
        <f t="shared" si="1"/>
        <v>4</v>
      </c>
      <c r="K116" t="s">
        <v>2</v>
      </c>
      <c r="L116" s="5">
        <f t="shared" si="5"/>
        <v>9.521484375E-3</v>
      </c>
      <c r="M116" t="s">
        <v>2</v>
      </c>
    </row>
    <row r="117" spans="2:13" x14ac:dyDescent="0.2">
      <c r="B117" t="s">
        <v>2</v>
      </c>
      <c r="C117">
        <v>229376</v>
      </c>
      <c r="D117" t="s">
        <v>2</v>
      </c>
      <c r="E117" t="s">
        <v>17</v>
      </c>
      <c r="F117">
        <v>6</v>
      </c>
      <c r="G117" t="s">
        <v>2</v>
      </c>
      <c r="H117">
        <v>28672</v>
      </c>
      <c r="I117" t="s">
        <v>2</v>
      </c>
      <c r="J117">
        <f t="shared" si="1"/>
        <v>8</v>
      </c>
      <c r="K117" t="s">
        <v>2</v>
      </c>
      <c r="L117" s="5">
        <f t="shared" si="5"/>
        <v>1.708984375E-3</v>
      </c>
      <c r="M117" t="s">
        <v>2</v>
      </c>
    </row>
    <row r="118" spans="2:13" x14ac:dyDescent="0.2">
      <c r="B118" t="s">
        <v>2</v>
      </c>
      <c r="C118">
        <v>245760</v>
      </c>
      <c r="D118" t="s">
        <v>2</v>
      </c>
      <c r="E118" t="s">
        <v>17</v>
      </c>
      <c r="F118">
        <v>7</v>
      </c>
      <c r="G118" t="s">
        <v>2</v>
      </c>
      <c r="H118">
        <v>61440</v>
      </c>
      <c r="I118" t="s">
        <v>2</v>
      </c>
      <c r="J118">
        <f t="shared" si="1"/>
        <v>4</v>
      </c>
      <c r="K118" t="s">
        <v>2</v>
      </c>
      <c r="L118" s="5">
        <f t="shared" si="5"/>
        <v>3.662109375E-3</v>
      </c>
      <c r="M118" t="s">
        <v>2</v>
      </c>
    </row>
    <row r="119" spans="2:13" x14ac:dyDescent="0.2">
      <c r="B119" t="s">
        <v>2</v>
      </c>
      <c r="C119">
        <v>262144</v>
      </c>
      <c r="D119" t="s">
        <v>2</v>
      </c>
      <c r="E119" t="s">
        <v>17</v>
      </c>
      <c r="F119">
        <v>0</v>
      </c>
      <c r="G119" t="s">
        <v>2</v>
      </c>
      <c r="H119">
        <v>4096</v>
      </c>
      <c r="I119" t="s">
        <v>2</v>
      </c>
      <c r="J119">
        <f t="shared" si="1"/>
        <v>64</v>
      </c>
      <c r="K119" t="s">
        <v>2</v>
      </c>
      <c r="L119" s="5">
        <f>((16*1024*1024-4096*3)-FLOOR((16*1024*1024-4096*3)/(C119), 1)*C119)/(16*1024*1024)</f>
        <v>1.4892578125E-2</v>
      </c>
      <c r="M119" t="s">
        <v>2</v>
      </c>
    </row>
    <row r="120" spans="2:13" x14ac:dyDescent="0.2">
      <c r="B120" t="s">
        <v>2</v>
      </c>
      <c r="C120">
        <v>294912</v>
      </c>
      <c r="D120" t="s">
        <v>2</v>
      </c>
      <c r="E120" t="s">
        <v>17</v>
      </c>
      <c r="F120">
        <v>1</v>
      </c>
      <c r="G120" t="s">
        <v>2</v>
      </c>
      <c r="H120">
        <v>36864</v>
      </c>
      <c r="I120" t="s">
        <v>2</v>
      </c>
      <c r="J120">
        <f t="shared" si="1"/>
        <v>8</v>
      </c>
      <c r="K120" t="s">
        <v>2</v>
      </c>
      <c r="L120" s="5">
        <f>((16*1024*1024-4096)-FLOOR((16*1024*1024-4096)/(C120), 1)*C120)/(16*1024*1024)</f>
        <v>1.5380859375E-2</v>
      </c>
      <c r="M120" t="s">
        <v>2</v>
      </c>
    </row>
    <row r="121" spans="2:13" x14ac:dyDescent="0.2">
      <c r="B121" t="s">
        <v>2</v>
      </c>
      <c r="C121">
        <v>327680</v>
      </c>
      <c r="D121" t="s">
        <v>2</v>
      </c>
      <c r="E121" t="s">
        <v>17</v>
      </c>
      <c r="F121">
        <v>2</v>
      </c>
      <c r="G121" t="s">
        <v>2</v>
      </c>
      <c r="H121">
        <v>20480</v>
      </c>
      <c r="I121" t="s">
        <v>2</v>
      </c>
      <c r="J121">
        <f t="shared" si="1"/>
        <v>16</v>
      </c>
      <c r="K121" t="s">
        <v>2</v>
      </c>
      <c r="L121" s="5">
        <f t="shared" ref="L121:L126" si="6">((16*1024*1024-4096)-FLOOR((16*1024*1024-4096)/(C121), 1)*C121)/(16*1024*1024)</f>
        <v>3.662109375E-3</v>
      </c>
      <c r="M121" t="s">
        <v>2</v>
      </c>
    </row>
    <row r="122" spans="2:13" x14ac:dyDescent="0.2">
      <c r="B122" t="s">
        <v>2</v>
      </c>
      <c r="C122">
        <v>360448</v>
      </c>
      <c r="D122" t="s">
        <v>2</v>
      </c>
      <c r="E122" t="s">
        <v>17</v>
      </c>
      <c r="F122">
        <v>3</v>
      </c>
      <c r="G122" t="s">
        <v>2</v>
      </c>
      <c r="H122">
        <v>45056</v>
      </c>
      <c r="I122" t="s">
        <v>2</v>
      </c>
      <c r="J122">
        <f t="shared" si="1"/>
        <v>8</v>
      </c>
      <c r="K122" t="s">
        <v>2</v>
      </c>
      <c r="L122" s="5">
        <f>((16*1024*1024-4096*4)-FLOOR((16*1024*1024-4096*4)/(C122), 1)*C122)/(16*1024*1024)</f>
        <v>1.07421875E-2</v>
      </c>
      <c r="M122" t="s">
        <v>2</v>
      </c>
    </row>
    <row r="123" spans="2:13" x14ac:dyDescent="0.2">
      <c r="B123" t="s">
        <v>2</v>
      </c>
      <c r="C123">
        <v>393216</v>
      </c>
      <c r="D123" t="s">
        <v>2</v>
      </c>
      <c r="E123" t="s">
        <v>17</v>
      </c>
      <c r="F123">
        <v>4</v>
      </c>
      <c r="G123" t="s">
        <v>2</v>
      </c>
      <c r="H123">
        <v>12288</v>
      </c>
      <c r="I123" t="s">
        <v>2</v>
      </c>
      <c r="J123">
        <f t="shared" si="1"/>
        <v>32</v>
      </c>
      <c r="K123" t="s">
        <v>2</v>
      </c>
      <c r="L123" s="5">
        <f t="shared" si="6"/>
        <v>1.5380859375E-2</v>
      </c>
      <c r="M123" t="s">
        <v>2</v>
      </c>
    </row>
    <row r="124" spans="2:13" x14ac:dyDescent="0.2">
      <c r="B124" t="s">
        <v>2</v>
      </c>
      <c r="C124">
        <v>425984</v>
      </c>
      <c r="D124" t="s">
        <v>2</v>
      </c>
      <c r="E124" t="s">
        <v>17</v>
      </c>
      <c r="F124">
        <v>5</v>
      </c>
      <c r="G124" t="s">
        <v>2</v>
      </c>
      <c r="H124">
        <v>53248</v>
      </c>
      <c r="I124" t="s">
        <v>2</v>
      </c>
      <c r="J124">
        <f t="shared" si="1"/>
        <v>8</v>
      </c>
      <c r="K124" t="s">
        <v>2</v>
      </c>
      <c r="L124" s="5">
        <f t="shared" si="6"/>
        <v>9.521484375E-3</v>
      </c>
      <c r="M124" t="s">
        <v>2</v>
      </c>
    </row>
    <row r="125" spans="2:13" x14ac:dyDescent="0.2">
      <c r="B125" t="s">
        <v>2</v>
      </c>
      <c r="C125">
        <v>458752</v>
      </c>
      <c r="D125" t="s">
        <v>2</v>
      </c>
      <c r="E125" t="s">
        <v>17</v>
      </c>
      <c r="F125">
        <v>6</v>
      </c>
      <c r="G125" t="s">
        <v>2</v>
      </c>
      <c r="H125">
        <v>28672</v>
      </c>
      <c r="I125" t="s">
        <v>2</v>
      </c>
      <c r="J125">
        <f t="shared" si="1"/>
        <v>16</v>
      </c>
      <c r="K125" t="s">
        <v>2</v>
      </c>
      <c r="L125" s="5">
        <f t="shared" si="6"/>
        <v>1.5380859375E-2</v>
      </c>
      <c r="M125" t="s">
        <v>2</v>
      </c>
    </row>
    <row r="126" spans="2:13" x14ac:dyDescent="0.2">
      <c r="B126" t="s">
        <v>2</v>
      </c>
      <c r="C126">
        <v>491520</v>
      </c>
      <c r="D126" t="s">
        <v>2</v>
      </c>
      <c r="E126" t="s">
        <v>17</v>
      </c>
      <c r="F126">
        <v>7</v>
      </c>
      <c r="G126" t="s">
        <v>2</v>
      </c>
      <c r="H126">
        <v>61440</v>
      </c>
      <c r="I126" t="s">
        <v>2</v>
      </c>
      <c r="J126">
        <f t="shared" si="1"/>
        <v>8</v>
      </c>
      <c r="K126" t="s">
        <v>2</v>
      </c>
      <c r="L126" s="5">
        <f t="shared" si="6"/>
        <v>3.662109375E-3</v>
      </c>
      <c r="M126" t="s">
        <v>2</v>
      </c>
    </row>
    <row r="127" spans="2:13" x14ac:dyDescent="0.2">
      <c r="B127" t="s">
        <v>2</v>
      </c>
      <c r="C127">
        <v>524288</v>
      </c>
      <c r="D127" t="s">
        <v>2</v>
      </c>
      <c r="E127" t="s">
        <v>17</v>
      </c>
      <c r="F127">
        <v>0</v>
      </c>
      <c r="G127" t="s">
        <v>2</v>
      </c>
      <c r="H127">
        <v>4096</v>
      </c>
      <c r="I127" t="s">
        <v>2</v>
      </c>
      <c r="J127">
        <f t="shared" ref="J127:J142" si="7">IF(C127/H127&gt;=1,C127/H127,"")</f>
        <v>128</v>
      </c>
      <c r="K127" t="s">
        <v>2</v>
      </c>
      <c r="L127" s="5">
        <f>((16*1024*1024-4096*3)-FLOOR((16*1024*1024-4096*3)/(C127), 1)*C127)/(16*1024*1024)</f>
        <v>3.0517578125E-2</v>
      </c>
      <c r="M127" t="s">
        <v>2</v>
      </c>
    </row>
    <row r="128" spans="2:13" x14ac:dyDescent="0.2">
      <c r="B128" t="s">
        <v>2</v>
      </c>
      <c r="C128">
        <v>589824</v>
      </c>
      <c r="D128" t="s">
        <v>2</v>
      </c>
      <c r="E128" t="s">
        <v>17</v>
      </c>
      <c r="F128">
        <v>1</v>
      </c>
      <c r="G128" t="s">
        <v>2</v>
      </c>
      <c r="H128">
        <v>36864</v>
      </c>
      <c r="I128" t="s">
        <v>2</v>
      </c>
      <c r="J128">
        <f t="shared" si="7"/>
        <v>16</v>
      </c>
      <c r="K128" t="s">
        <v>2</v>
      </c>
      <c r="L128" s="5">
        <f>((16*1024*1024-4096)-FLOOR((16*1024*1024-4096)/(C128), 1)*C128)/(16*1024*1024)</f>
        <v>1.5380859375E-2</v>
      </c>
      <c r="M128" t="s">
        <v>2</v>
      </c>
    </row>
    <row r="129" spans="2:13" x14ac:dyDescent="0.2">
      <c r="B129" t="s">
        <v>2</v>
      </c>
      <c r="C129">
        <v>655360</v>
      </c>
      <c r="D129" t="s">
        <v>2</v>
      </c>
      <c r="E129" t="s">
        <v>17</v>
      </c>
      <c r="F129">
        <v>2</v>
      </c>
      <c r="G129" t="s">
        <v>2</v>
      </c>
      <c r="H129">
        <v>20480</v>
      </c>
      <c r="I129" t="s">
        <v>2</v>
      </c>
      <c r="J129">
        <f t="shared" si="7"/>
        <v>32</v>
      </c>
      <c r="K129" t="s">
        <v>2</v>
      </c>
      <c r="L129" s="5">
        <f t="shared" ref="L129:L134" si="8">((16*1024*1024-4096)-FLOOR((16*1024*1024-4096)/(C129), 1)*C129)/(16*1024*1024)</f>
        <v>2.3193359375E-2</v>
      </c>
      <c r="M129" t="s">
        <v>2</v>
      </c>
    </row>
    <row r="130" spans="2:13" x14ac:dyDescent="0.2">
      <c r="B130" t="s">
        <v>2</v>
      </c>
      <c r="C130">
        <v>720896</v>
      </c>
      <c r="D130" t="s">
        <v>2</v>
      </c>
      <c r="E130" t="s">
        <v>17</v>
      </c>
      <c r="F130">
        <v>3</v>
      </c>
      <c r="G130" t="s">
        <v>2</v>
      </c>
      <c r="H130">
        <v>45056</v>
      </c>
      <c r="I130" t="s">
        <v>2</v>
      </c>
      <c r="J130">
        <f t="shared" si="7"/>
        <v>16</v>
      </c>
      <c r="K130" t="s">
        <v>2</v>
      </c>
      <c r="L130" s="5">
        <f>((16*1024*1024-4096*4)-FLOOR((16*1024*1024-4096*4)/(C130), 1)*C130)/(16*1024*1024)</f>
        <v>1.07421875E-2</v>
      </c>
      <c r="M130" t="s">
        <v>2</v>
      </c>
    </row>
    <row r="131" spans="2:13" x14ac:dyDescent="0.2">
      <c r="B131" t="s">
        <v>2</v>
      </c>
      <c r="C131">
        <v>786432</v>
      </c>
      <c r="D131" t="s">
        <v>2</v>
      </c>
      <c r="E131" t="s">
        <v>17</v>
      </c>
      <c r="F131">
        <v>4</v>
      </c>
      <c r="G131" t="s">
        <v>2</v>
      </c>
      <c r="H131">
        <v>12288</v>
      </c>
      <c r="I131" t="s">
        <v>2</v>
      </c>
      <c r="J131">
        <f t="shared" si="7"/>
        <v>64</v>
      </c>
      <c r="K131" t="s">
        <v>2</v>
      </c>
      <c r="L131" s="5">
        <f t="shared" ref="L131:L134" si="9">((16*1024*1024-4096)-FLOOR((16*1024*1024-4096)/(C131), 1)*C131)/(16*1024*1024)</f>
        <v>1.5380859375E-2</v>
      </c>
      <c r="M131" t="s">
        <v>2</v>
      </c>
    </row>
    <row r="132" spans="2:13" x14ac:dyDescent="0.2">
      <c r="B132" t="s">
        <v>2</v>
      </c>
      <c r="C132">
        <v>851968</v>
      </c>
      <c r="D132" t="s">
        <v>2</v>
      </c>
      <c r="E132" t="s">
        <v>17</v>
      </c>
      <c r="F132">
        <v>5</v>
      </c>
      <c r="G132" t="s">
        <v>2</v>
      </c>
      <c r="H132">
        <v>53248</v>
      </c>
      <c r="I132" t="s">
        <v>2</v>
      </c>
      <c r="J132">
        <f t="shared" si="7"/>
        <v>16</v>
      </c>
      <c r="K132" t="s">
        <v>2</v>
      </c>
      <c r="L132" s="5">
        <f t="shared" si="9"/>
        <v>3.4912109375E-2</v>
      </c>
      <c r="M132" t="s">
        <v>2</v>
      </c>
    </row>
    <row r="133" spans="2:13" x14ac:dyDescent="0.2">
      <c r="B133" t="s">
        <v>2</v>
      </c>
      <c r="C133">
        <v>917504</v>
      </c>
      <c r="D133" t="s">
        <v>2</v>
      </c>
      <c r="E133" t="s">
        <v>17</v>
      </c>
      <c r="F133">
        <v>6</v>
      </c>
      <c r="G133" t="s">
        <v>2</v>
      </c>
      <c r="H133">
        <v>28672</v>
      </c>
      <c r="I133" t="s">
        <v>2</v>
      </c>
      <c r="J133">
        <f t="shared" si="7"/>
        <v>32</v>
      </c>
      <c r="K133" t="s">
        <v>2</v>
      </c>
      <c r="L133" s="5">
        <f t="shared" si="9"/>
        <v>1.5380859375E-2</v>
      </c>
      <c r="M133" t="s">
        <v>2</v>
      </c>
    </row>
    <row r="134" spans="2:13" x14ac:dyDescent="0.2">
      <c r="B134" t="s">
        <v>2</v>
      </c>
      <c r="C134">
        <v>983040</v>
      </c>
      <c r="D134" t="s">
        <v>2</v>
      </c>
      <c r="E134" t="s">
        <v>17</v>
      </c>
      <c r="F134">
        <v>7</v>
      </c>
      <c r="G134" t="s">
        <v>2</v>
      </c>
      <c r="H134">
        <v>61440</v>
      </c>
      <c r="I134" t="s">
        <v>2</v>
      </c>
      <c r="J134">
        <f t="shared" si="7"/>
        <v>16</v>
      </c>
      <c r="K134" t="s">
        <v>2</v>
      </c>
      <c r="L134" s="5">
        <f t="shared" si="9"/>
        <v>3.662109375E-3</v>
      </c>
      <c r="M134" t="s">
        <v>2</v>
      </c>
    </row>
    <row r="135" spans="2:13" x14ac:dyDescent="0.2">
      <c r="B135" t="s">
        <v>2</v>
      </c>
      <c r="C135">
        <v>1048576</v>
      </c>
      <c r="D135" t="s">
        <v>2</v>
      </c>
      <c r="E135" t="s">
        <v>17</v>
      </c>
      <c r="F135">
        <v>0</v>
      </c>
      <c r="G135" t="s">
        <v>2</v>
      </c>
      <c r="H135">
        <v>4096</v>
      </c>
      <c r="I135" t="s">
        <v>2</v>
      </c>
      <c r="J135">
        <f t="shared" si="7"/>
        <v>256</v>
      </c>
      <c r="K135" t="s">
        <v>2</v>
      </c>
      <c r="L135" s="5">
        <f>((16*1024*1024-4096*3)-FLOOR((16*1024*1024-4096*3)/(C135), 1)*C135)/(16*1024*1024)</f>
        <v>6.1767578125E-2</v>
      </c>
      <c r="M135" t="s">
        <v>2</v>
      </c>
    </row>
    <row r="136" spans="2:13" x14ac:dyDescent="0.2">
      <c r="B136" t="s">
        <v>2</v>
      </c>
      <c r="C136">
        <v>1179648</v>
      </c>
      <c r="D136" t="s">
        <v>2</v>
      </c>
      <c r="E136" t="s">
        <v>17</v>
      </c>
      <c r="F136">
        <v>1</v>
      </c>
      <c r="G136" t="s">
        <v>2</v>
      </c>
      <c r="H136">
        <v>36864</v>
      </c>
      <c r="I136" t="s">
        <v>2</v>
      </c>
      <c r="J136">
        <f t="shared" si="7"/>
        <v>32</v>
      </c>
      <c r="K136" t="s">
        <v>2</v>
      </c>
      <c r="L136" s="5">
        <f>((16*1024*1024-4096)-FLOOR((16*1024*1024-4096)/(C136), 1)*C136)/(16*1024*1024)</f>
        <v>1.5380859375E-2</v>
      </c>
      <c r="M136" t="s">
        <v>2</v>
      </c>
    </row>
    <row r="137" spans="2:13" x14ac:dyDescent="0.2">
      <c r="B137" t="s">
        <v>2</v>
      </c>
      <c r="C137">
        <v>1310720</v>
      </c>
      <c r="D137" t="s">
        <v>2</v>
      </c>
      <c r="E137" t="s">
        <v>17</v>
      </c>
      <c r="F137">
        <v>2</v>
      </c>
      <c r="G137" t="s">
        <v>2</v>
      </c>
      <c r="H137">
        <v>20480</v>
      </c>
      <c r="I137" t="s">
        <v>2</v>
      </c>
      <c r="J137">
        <f t="shared" si="7"/>
        <v>64</v>
      </c>
      <c r="K137" t="s">
        <v>2</v>
      </c>
      <c r="L137" s="5">
        <f t="shared" ref="L137:L142" si="10">((16*1024*1024-4096)-FLOOR((16*1024*1024-4096)/(C137), 1)*C137)/(16*1024*1024)</f>
        <v>6.2255859375E-2</v>
      </c>
      <c r="M137" t="s">
        <v>2</v>
      </c>
    </row>
    <row r="138" spans="2:13" x14ac:dyDescent="0.2">
      <c r="B138" t="s">
        <v>2</v>
      </c>
      <c r="C138">
        <v>1441792</v>
      </c>
      <c r="D138" t="s">
        <v>2</v>
      </c>
      <c r="E138" t="s">
        <v>17</v>
      </c>
      <c r="F138">
        <v>3</v>
      </c>
      <c r="G138" t="s">
        <v>2</v>
      </c>
      <c r="H138">
        <v>45056</v>
      </c>
      <c r="I138" t="s">
        <v>2</v>
      </c>
      <c r="J138">
        <f t="shared" si="7"/>
        <v>32</v>
      </c>
      <c r="K138" t="s">
        <v>2</v>
      </c>
      <c r="L138" s="5">
        <f>((16*1024*1024-4096*4)-FLOOR((16*1024*1024-4096*4)/(C138), 1)*C138)/(16*1024*1024)</f>
        <v>5.37109375E-2</v>
      </c>
      <c r="M138" t="s">
        <v>2</v>
      </c>
    </row>
    <row r="139" spans="2:13" x14ac:dyDescent="0.2">
      <c r="B139" t="s">
        <v>2</v>
      </c>
      <c r="C139">
        <v>1572864</v>
      </c>
      <c r="D139" t="s">
        <v>2</v>
      </c>
      <c r="E139" t="s">
        <v>17</v>
      </c>
      <c r="F139">
        <v>4</v>
      </c>
      <c r="G139" t="s">
        <v>2</v>
      </c>
      <c r="H139">
        <v>12288</v>
      </c>
      <c r="I139" t="s">
        <v>2</v>
      </c>
      <c r="J139">
        <f t="shared" si="7"/>
        <v>128</v>
      </c>
      <c r="K139" t="s">
        <v>2</v>
      </c>
      <c r="L139" s="5">
        <f t="shared" ref="L139:L142" si="11">((16*1024*1024-4096)-FLOOR((16*1024*1024-4096)/(C139), 1)*C139)/(16*1024*1024)</f>
        <v>6.2255859375E-2</v>
      </c>
      <c r="M139" t="s">
        <v>2</v>
      </c>
    </row>
    <row r="140" spans="2:13" x14ac:dyDescent="0.2">
      <c r="B140" t="s">
        <v>2</v>
      </c>
      <c r="C140">
        <v>1703936</v>
      </c>
      <c r="D140" t="s">
        <v>2</v>
      </c>
      <c r="E140" t="s">
        <v>17</v>
      </c>
      <c r="F140">
        <v>5</v>
      </c>
      <c r="G140" t="s">
        <v>2</v>
      </c>
      <c r="H140">
        <v>53248</v>
      </c>
      <c r="I140" t="s">
        <v>2</v>
      </c>
      <c r="J140">
        <f t="shared" si="7"/>
        <v>32</v>
      </c>
      <c r="K140" t="s">
        <v>2</v>
      </c>
      <c r="L140" s="5">
        <f t="shared" si="11"/>
        <v>8.5693359375E-2</v>
      </c>
      <c r="M140" t="s">
        <v>2</v>
      </c>
    </row>
    <row r="141" spans="2:13" x14ac:dyDescent="0.2">
      <c r="B141" t="s">
        <v>2</v>
      </c>
      <c r="C141">
        <v>1835008</v>
      </c>
      <c r="D141" t="s">
        <v>2</v>
      </c>
      <c r="E141" t="s">
        <v>17</v>
      </c>
      <c r="F141">
        <v>6</v>
      </c>
      <c r="G141" t="s">
        <v>2</v>
      </c>
      <c r="H141">
        <v>28672</v>
      </c>
      <c r="I141" t="s">
        <v>2</v>
      </c>
      <c r="J141">
        <f t="shared" si="7"/>
        <v>64</v>
      </c>
      <c r="K141" t="s">
        <v>2</v>
      </c>
      <c r="L141" s="5">
        <f t="shared" si="11"/>
        <v>1.5380859375E-2</v>
      </c>
      <c r="M141" t="s">
        <v>2</v>
      </c>
    </row>
    <row r="142" spans="2:13" x14ac:dyDescent="0.2">
      <c r="B142" t="s">
        <v>2</v>
      </c>
      <c r="C142">
        <v>1966080</v>
      </c>
      <c r="D142" t="s">
        <v>2</v>
      </c>
      <c r="E142" t="s">
        <v>17</v>
      </c>
      <c r="F142">
        <v>7</v>
      </c>
      <c r="G142" t="s">
        <v>2</v>
      </c>
      <c r="H142">
        <v>61440</v>
      </c>
      <c r="I142" t="s">
        <v>2</v>
      </c>
      <c r="J142">
        <f t="shared" si="7"/>
        <v>32</v>
      </c>
      <c r="K142" t="s">
        <v>2</v>
      </c>
      <c r="L142" s="5">
        <f t="shared" si="11"/>
        <v>6.2255859375E-2</v>
      </c>
      <c r="M142" t="s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K22"/>
  <sheetViews>
    <sheetView workbookViewId="0">
      <selection activeCell="B5" sqref="B5:K22"/>
    </sheetView>
  </sheetViews>
  <sheetFormatPr baseColWidth="10" defaultRowHeight="16" x14ac:dyDescent="0.2"/>
  <sheetData>
    <row r="5" spans="2:11" x14ac:dyDescent="0.2">
      <c r="B5" t="s">
        <v>2</v>
      </c>
      <c r="C5" t="s">
        <v>0</v>
      </c>
      <c r="D5" t="s">
        <v>2</v>
      </c>
      <c r="E5" t="s">
        <v>3</v>
      </c>
      <c r="G5" t="s">
        <v>2</v>
      </c>
      <c r="H5" t="s">
        <v>7</v>
      </c>
      <c r="I5" t="s">
        <v>2</v>
      </c>
      <c r="J5" t="s">
        <v>9</v>
      </c>
      <c r="K5" t="s">
        <v>2</v>
      </c>
    </row>
    <row r="6" spans="2:11" x14ac:dyDescent="0.2">
      <c r="B6" t="s">
        <v>2</v>
      </c>
      <c r="C6" s="1" t="s">
        <v>5</v>
      </c>
      <c r="D6" t="s">
        <v>2</v>
      </c>
      <c r="E6" t="s">
        <v>4</v>
      </c>
      <c r="F6" s="1" t="s">
        <v>5</v>
      </c>
      <c r="G6" t="s">
        <v>2</v>
      </c>
      <c r="H6" s="1" t="s">
        <v>5</v>
      </c>
      <c r="I6" t="s">
        <v>2</v>
      </c>
      <c r="J6" s="1" t="s">
        <v>5</v>
      </c>
      <c r="K6" t="s">
        <v>2</v>
      </c>
    </row>
    <row r="7" spans="2:11" x14ac:dyDescent="0.2">
      <c r="B7" t="s">
        <v>2</v>
      </c>
      <c r="C7">
        <v>32</v>
      </c>
      <c r="D7" t="s">
        <v>2</v>
      </c>
      <c r="E7" t="s">
        <v>17</v>
      </c>
      <c r="F7">
        <v>0</v>
      </c>
      <c r="G7" t="s">
        <v>2</v>
      </c>
      <c r="H7">
        <v>4096</v>
      </c>
      <c r="I7" t="s">
        <v>2</v>
      </c>
      <c r="J7">
        <f t="shared" ref="J7:J22" si="0">H7/C7</f>
        <v>128</v>
      </c>
      <c r="K7" t="s">
        <v>2</v>
      </c>
    </row>
    <row r="8" spans="2:11" x14ac:dyDescent="0.2">
      <c r="B8" t="s">
        <v>2</v>
      </c>
      <c r="C8">
        <v>36</v>
      </c>
      <c r="D8" t="s">
        <v>2</v>
      </c>
      <c r="E8" t="s">
        <v>17</v>
      </c>
      <c r="F8">
        <v>1</v>
      </c>
      <c r="G8" t="s">
        <v>2</v>
      </c>
      <c r="H8">
        <v>36864</v>
      </c>
      <c r="I8" t="s">
        <v>2</v>
      </c>
      <c r="J8">
        <f t="shared" si="0"/>
        <v>1024</v>
      </c>
      <c r="K8" t="s">
        <v>2</v>
      </c>
    </row>
    <row r="9" spans="2:11" x14ac:dyDescent="0.2">
      <c r="B9" t="s">
        <v>2</v>
      </c>
      <c r="C9">
        <v>40</v>
      </c>
      <c r="D9" t="s">
        <v>2</v>
      </c>
      <c r="E9" t="s">
        <v>17</v>
      </c>
      <c r="F9">
        <v>2</v>
      </c>
      <c r="G9" t="s">
        <v>2</v>
      </c>
      <c r="H9">
        <v>20480</v>
      </c>
      <c r="I9" t="s">
        <v>2</v>
      </c>
      <c r="J9">
        <f t="shared" si="0"/>
        <v>512</v>
      </c>
      <c r="K9" t="s">
        <v>2</v>
      </c>
    </row>
    <row r="10" spans="2:11" x14ac:dyDescent="0.2">
      <c r="B10" t="s">
        <v>2</v>
      </c>
      <c r="C10">
        <v>44</v>
      </c>
      <c r="D10" t="s">
        <v>2</v>
      </c>
      <c r="E10" t="s">
        <v>17</v>
      </c>
      <c r="F10">
        <v>3</v>
      </c>
      <c r="G10" t="s">
        <v>2</v>
      </c>
      <c r="H10">
        <v>45056</v>
      </c>
      <c r="I10" t="s">
        <v>2</v>
      </c>
      <c r="J10">
        <f t="shared" si="0"/>
        <v>1024</v>
      </c>
      <c r="K10" t="s">
        <v>2</v>
      </c>
    </row>
    <row r="11" spans="2:11" x14ac:dyDescent="0.2">
      <c r="B11" t="s">
        <v>2</v>
      </c>
      <c r="C11">
        <v>48</v>
      </c>
      <c r="D11" t="s">
        <v>2</v>
      </c>
      <c r="E11" t="s">
        <v>17</v>
      </c>
      <c r="F11">
        <v>4</v>
      </c>
      <c r="G11" t="s">
        <v>2</v>
      </c>
      <c r="H11">
        <v>12288</v>
      </c>
      <c r="I11" t="s">
        <v>2</v>
      </c>
      <c r="J11">
        <f t="shared" si="0"/>
        <v>256</v>
      </c>
      <c r="K11" t="s">
        <v>2</v>
      </c>
    </row>
    <row r="12" spans="2:11" x14ac:dyDescent="0.2">
      <c r="B12" t="s">
        <v>2</v>
      </c>
      <c r="C12">
        <v>52</v>
      </c>
      <c r="D12" t="s">
        <v>2</v>
      </c>
      <c r="E12" t="s">
        <v>17</v>
      </c>
      <c r="F12">
        <v>5</v>
      </c>
      <c r="G12" t="s">
        <v>2</v>
      </c>
      <c r="H12">
        <v>53248</v>
      </c>
      <c r="I12" t="s">
        <v>2</v>
      </c>
      <c r="J12">
        <f t="shared" si="0"/>
        <v>1024</v>
      </c>
      <c r="K12" t="s">
        <v>2</v>
      </c>
    </row>
    <row r="13" spans="2:11" x14ac:dyDescent="0.2">
      <c r="B13" t="s">
        <v>2</v>
      </c>
      <c r="C13">
        <v>56</v>
      </c>
      <c r="D13" t="s">
        <v>2</v>
      </c>
      <c r="E13" t="s">
        <v>17</v>
      </c>
      <c r="F13">
        <v>6</v>
      </c>
      <c r="G13" t="s">
        <v>2</v>
      </c>
      <c r="H13">
        <v>28672</v>
      </c>
      <c r="I13" t="s">
        <v>2</v>
      </c>
      <c r="J13">
        <f t="shared" si="0"/>
        <v>512</v>
      </c>
      <c r="K13" t="s">
        <v>2</v>
      </c>
    </row>
    <row r="14" spans="2:11" x14ac:dyDescent="0.2">
      <c r="B14" t="s">
        <v>2</v>
      </c>
      <c r="C14">
        <v>60</v>
      </c>
      <c r="D14" t="s">
        <v>2</v>
      </c>
      <c r="E14" t="s">
        <v>17</v>
      </c>
      <c r="F14">
        <v>7</v>
      </c>
      <c r="G14" t="s">
        <v>2</v>
      </c>
      <c r="H14">
        <v>61440</v>
      </c>
      <c r="I14" t="s">
        <v>2</v>
      </c>
      <c r="J14">
        <f t="shared" si="0"/>
        <v>1024</v>
      </c>
      <c r="K14" t="s">
        <v>2</v>
      </c>
    </row>
    <row r="15" spans="2:11" x14ac:dyDescent="0.2">
      <c r="B15" t="s">
        <v>2</v>
      </c>
      <c r="C15">
        <v>64</v>
      </c>
      <c r="D15" t="s">
        <v>2</v>
      </c>
      <c r="E15" t="s">
        <v>17</v>
      </c>
      <c r="F15">
        <v>0</v>
      </c>
      <c r="G15" t="s">
        <v>2</v>
      </c>
      <c r="H15">
        <v>4096</v>
      </c>
      <c r="I15" t="s">
        <v>2</v>
      </c>
      <c r="J15">
        <f t="shared" si="0"/>
        <v>64</v>
      </c>
      <c r="K15" t="s">
        <v>2</v>
      </c>
    </row>
    <row r="16" spans="2:11" x14ac:dyDescent="0.2">
      <c r="B16" t="s">
        <v>2</v>
      </c>
      <c r="C16">
        <v>72</v>
      </c>
      <c r="D16" t="s">
        <v>2</v>
      </c>
      <c r="E16" t="s">
        <v>17</v>
      </c>
      <c r="F16">
        <v>1</v>
      </c>
      <c r="G16" t="s">
        <v>2</v>
      </c>
      <c r="H16">
        <v>36864</v>
      </c>
      <c r="I16" t="s">
        <v>2</v>
      </c>
      <c r="J16">
        <f t="shared" si="0"/>
        <v>512</v>
      </c>
      <c r="K16" t="s">
        <v>2</v>
      </c>
    </row>
    <row r="17" spans="2:11" x14ac:dyDescent="0.2">
      <c r="B17" t="s">
        <v>2</v>
      </c>
      <c r="C17">
        <v>80</v>
      </c>
      <c r="D17" t="s">
        <v>2</v>
      </c>
      <c r="E17" t="s">
        <v>17</v>
      </c>
      <c r="F17">
        <v>2</v>
      </c>
      <c r="G17" t="s">
        <v>2</v>
      </c>
      <c r="H17">
        <v>20480</v>
      </c>
      <c r="I17" t="s">
        <v>2</v>
      </c>
      <c r="J17">
        <f t="shared" si="0"/>
        <v>256</v>
      </c>
      <c r="K17" t="s">
        <v>2</v>
      </c>
    </row>
    <row r="18" spans="2:11" x14ac:dyDescent="0.2">
      <c r="B18" t="s">
        <v>2</v>
      </c>
      <c r="C18">
        <v>88</v>
      </c>
      <c r="D18" t="s">
        <v>2</v>
      </c>
      <c r="E18" t="s">
        <v>17</v>
      </c>
      <c r="F18">
        <v>3</v>
      </c>
      <c r="G18" t="s">
        <v>2</v>
      </c>
      <c r="H18">
        <v>45056</v>
      </c>
      <c r="I18" t="s">
        <v>2</v>
      </c>
      <c r="J18">
        <f t="shared" si="0"/>
        <v>512</v>
      </c>
      <c r="K18" t="s">
        <v>2</v>
      </c>
    </row>
    <row r="19" spans="2:11" x14ac:dyDescent="0.2">
      <c r="B19" t="s">
        <v>2</v>
      </c>
      <c r="C19">
        <v>96</v>
      </c>
      <c r="D19" t="s">
        <v>2</v>
      </c>
      <c r="E19" t="s">
        <v>17</v>
      </c>
      <c r="F19">
        <v>4</v>
      </c>
      <c r="G19" t="s">
        <v>2</v>
      </c>
      <c r="H19">
        <v>12288</v>
      </c>
      <c r="I19" t="s">
        <v>2</v>
      </c>
      <c r="J19">
        <f t="shared" si="0"/>
        <v>128</v>
      </c>
      <c r="K19" t="s">
        <v>2</v>
      </c>
    </row>
    <row r="20" spans="2:11" x14ac:dyDescent="0.2">
      <c r="B20" t="s">
        <v>2</v>
      </c>
      <c r="C20">
        <v>104</v>
      </c>
      <c r="D20" t="s">
        <v>2</v>
      </c>
      <c r="E20" t="s">
        <v>17</v>
      </c>
      <c r="F20">
        <v>5</v>
      </c>
      <c r="G20" t="s">
        <v>2</v>
      </c>
      <c r="H20">
        <v>53248</v>
      </c>
      <c r="I20" t="s">
        <v>2</v>
      </c>
      <c r="J20">
        <f t="shared" si="0"/>
        <v>512</v>
      </c>
      <c r="K20" t="s">
        <v>2</v>
      </c>
    </row>
    <row r="21" spans="2:11" x14ac:dyDescent="0.2">
      <c r="B21" t="s">
        <v>2</v>
      </c>
      <c r="C21">
        <v>112</v>
      </c>
      <c r="D21" t="s">
        <v>2</v>
      </c>
      <c r="E21" t="s">
        <v>17</v>
      </c>
      <c r="F21">
        <v>6</v>
      </c>
      <c r="G21" t="s">
        <v>2</v>
      </c>
      <c r="H21">
        <v>28672</v>
      </c>
      <c r="I21" t="s">
        <v>2</v>
      </c>
      <c r="J21">
        <f t="shared" si="0"/>
        <v>256</v>
      </c>
      <c r="K21" t="s">
        <v>2</v>
      </c>
    </row>
    <row r="22" spans="2:11" x14ac:dyDescent="0.2">
      <c r="B22" t="s">
        <v>2</v>
      </c>
      <c r="C22">
        <v>120</v>
      </c>
      <c r="D22" t="s">
        <v>2</v>
      </c>
      <c r="E22" t="s">
        <v>17</v>
      </c>
      <c r="F22">
        <v>7</v>
      </c>
      <c r="G22" t="s">
        <v>2</v>
      </c>
      <c r="H22">
        <v>61440</v>
      </c>
      <c r="I22" t="s">
        <v>2</v>
      </c>
      <c r="J22">
        <f t="shared" si="0"/>
        <v>512</v>
      </c>
      <c r="K22" t="s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K12"/>
  <sheetViews>
    <sheetView workbookViewId="0">
      <selection activeCell="B5" sqref="B5:K12"/>
    </sheetView>
  </sheetViews>
  <sheetFormatPr baseColWidth="10" defaultRowHeight="16" x14ac:dyDescent="0.2"/>
  <sheetData>
    <row r="5" spans="2:11" x14ac:dyDescent="0.2">
      <c r="B5" t="s">
        <v>2</v>
      </c>
      <c r="C5" t="s">
        <v>0</v>
      </c>
      <c r="D5" t="s">
        <v>2</v>
      </c>
      <c r="E5" t="s">
        <v>3</v>
      </c>
      <c r="G5" t="s">
        <v>2</v>
      </c>
      <c r="H5" t="s">
        <v>7</v>
      </c>
      <c r="I5" t="s">
        <v>2</v>
      </c>
      <c r="J5" t="s">
        <v>11</v>
      </c>
      <c r="K5" t="s">
        <v>2</v>
      </c>
    </row>
    <row r="6" spans="2:11" x14ac:dyDescent="0.2">
      <c r="B6" t="s">
        <v>2</v>
      </c>
      <c r="C6" s="1" t="s">
        <v>5</v>
      </c>
      <c r="D6" t="s">
        <v>2</v>
      </c>
      <c r="E6" t="s">
        <v>4</v>
      </c>
      <c r="F6" s="1" t="s">
        <v>5</v>
      </c>
      <c r="G6" t="s">
        <v>2</v>
      </c>
      <c r="H6" s="1" t="s">
        <v>5</v>
      </c>
      <c r="I6" t="s">
        <v>2</v>
      </c>
      <c r="J6" s="1"/>
      <c r="K6" t="s">
        <v>2</v>
      </c>
    </row>
    <row r="7" spans="2:11" x14ac:dyDescent="0.2">
      <c r="B7" t="s">
        <v>2</v>
      </c>
      <c r="C7">
        <v>1</v>
      </c>
      <c r="D7" t="s">
        <v>2</v>
      </c>
      <c r="E7" t="s">
        <v>1</v>
      </c>
      <c r="F7">
        <v>1</v>
      </c>
      <c r="G7" t="s">
        <v>2</v>
      </c>
      <c r="H7">
        <v>4096</v>
      </c>
      <c r="I7" t="s">
        <v>2</v>
      </c>
      <c r="J7" s="5">
        <f>(H7-C7*FLOOR((H7-56)/C7,1))/H7</f>
        <v>1.3671875E-2</v>
      </c>
      <c r="K7" t="s">
        <v>2</v>
      </c>
    </row>
    <row r="8" spans="2:11" x14ac:dyDescent="0.2">
      <c r="B8" t="s">
        <v>2</v>
      </c>
      <c r="C8">
        <v>2</v>
      </c>
      <c r="D8" t="s">
        <v>2</v>
      </c>
      <c r="E8" t="s">
        <v>1</v>
      </c>
      <c r="F8">
        <v>2</v>
      </c>
      <c r="G8" t="s">
        <v>2</v>
      </c>
      <c r="H8">
        <v>4096</v>
      </c>
      <c r="I8" t="s">
        <v>2</v>
      </c>
      <c r="J8" s="5">
        <f>(H8-C8*FLOOR((H8-24)/C8,1))/H8</f>
        <v>5.859375E-3</v>
      </c>
      <c r="K8" t="s">
        <v>2</v>
      </c>
    </row>
    <row r="9" spans="2:11" x14ac:dyDescent="0.2">
      <c r="B9" t="s">
        <v>2</v>
      </c>
      <c r="C9">
        <v>4</v>
      </c>
      <c r="D9" t="s">
        <v>2</v>
      </c>
      <c r="E9" t="s">
        <v>1</v>
      </c>
      <c r="F9">
        <v>4</v>
      </c>
      <c r="G9" t="s">
        <v>2</v>
      </c>
      <c r="H9">
        <v>4096</v>
      </c>
      <c r="I9" t="s">
        <v>2</v>
      </c>
      <c r="J9" s="5">
        <f t="shared" ref="J9:J12" si="0">(H9-C9*FLOOR((H9-24)/C9,1))/H9</f>
        <v>5.859375E-3</v>
      </c>
      <c r="K9" t="s">
        <v>2</v>
      </c>
    </row>
    <row r="10" spans="2:11" x14ac:dyDescent="0.2">
      <c r="B10" t="s">
        <v>2</v>
      </c>
      <c r="C10">
        <v>8</v>
      </c>
      <c r="D10" t="s">
        <v>2</v>
      </c>
      <c r="E10" t="s">
        <v>1</v>
      </c>
      <c r="F10">
        <v>8</v>
      </c>
      <c r="G10" t="s">
        <v>2</v>
      </c>
      <c r="H10">
        <v>4096</v>
      </c>
      <c r="I10" t="s">
        <v>2</v>
      </c>
      <c r="J10" s="5">
        <f t="shared" si="0"/>
        <v>5.859375E-3</v>
      </c>
      <c r="K10" t="s">
        <v>2</v>
      </c>
    </row>
    <row r="11" spans="2:11" x14ac:dyDescent="0.2">
      <c r="B11" t="s">
        <v>2</v>
      </c>
      <c r="C11">
        <v>12</v>
      </c>
      <c r="D11" t="s">
        <v>2</v>
      </c>
      <c r="E11" t="s">
        <v>1</v>
      </c>
      <c r="F11">
        <v>12</v>
      </c>
      <c r="G11" t="s">
        <v>2</v>
      </c>
      <c r="H11">
        <v>4096</v>
      </c>
      <c r="I11" t="s">
        <v>2</v>
      </c>
      <c r="J11" s="5">
        <f t="shared" si="0"/>
        <v>6.8359375E-3</v>
      </c>
      <c r="K11" t="s">
        <v>2</v>
      </c>
    </row>
    <row r="12" spans="2:11" x14ac:dyDescent="0.2">
      <c r="B12" t="s">
        <v>2</v>
      </c>
      <c r="C12">
        <v>16</v>
      </c>
      <c r="D12" t="s">
        <v>2</v>
      </c>
      <c r="E12" t="s">
        <v>1</v>
      </c>
      <c r="F12">
        <v>16</v>
      </c>
      <c r="G12" t="s">
        <v>2</v>
      </c>
      <c r="H12">
        <v>4096</v>
      </c>
      <c r="I12" t="s">
        <v>2</v>
      </c>
      <c r="J12" s="5">
        <f t="shared" si="0"/>
        <v>7.8125E-3</v>
      </c>
      <c r="K12" t="s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K41"/>
  <sheetViews>
    <sheetView topLeftCell="A3" workbookViewId="0">
      <selection activeCell="I5" sqref="I5"/>
    </sheetView>
  </sheetViews>
  <sheetFormatPr baseColWidth="10" defaultRowHeight="16" x14ac:dyDescent="0.2"/>
  <cols>
    <col min="3" max="3" width="21" customWidth="1"/>
    <col min="10" max="10" width="14.33203125" bestFit="1" customWidth="1"/>
  </cols>
  <sheetData>
    <row r="5" spans="2:10" x14ac:dyDescent="0.2">
      <c r="B5" s="2" t="s">
        <v>2</v>
      </c>
      <c r="C5" s="2" t="s">
        <v>0</v>
      </c>
      <c r="D5" s="2" t="s">
        <v>2</v>
      </c>
      <c r="E5" s="2" t="s">
        <v>7</v>
      </c>
      <c r="F5" s="2" t="s">
        <v>2</v>
      </c>
      <c r="G5" s="2" t="s">
        <v>8</v>
      </c>
      <c r="H5" s="2" t="s">
        <v>2</v>
      </c>
      <c r="I5" s="2" t="s">
        <v>18</v>
      </c>
      <c r="J5" s="2" t="s">
        <v>2</v>
      </c>
    </row>
    <row r="6" spans="2:10" x14ac:dyDescent="0.2">
      <c r="B6" s="2" t="s">
        <v>2</v>
      </c>
      <c r="C6" s="2" t="s">
        <v>5</v>
      </c>
      <c r="D6" s="2" t="s">
        <v>2</v>
      </c>
      <c r="E6" s="2" t="s">
        <v>5</v>
      </c>
      <c r="F6" s="2" t="s">
        <v>2</v>
      </c>
      <c r="G6" s="2" t="s">
        <v>5</v>
      </c>
      <c r="H6" s="2" t="s">
        <v>2</v>
      </c>
      <c r="I6" s="2" t="s">
        <v>5</v>
      </c>
      <c r="J6" s="2" t="s">
        <v>2</v>
      </c>
    </row>
    <row r="7" spans="2:10" x14ac:dyDescent="0.2">
      <c r="B7" s="2" t="s">
        <v>2</v>
      </c>
      <c r="C7" s="2">
        <v>32</v>
      </c>
      <c r="D7" s="2" t="s">
        <v>2</v>
      </c>
      <c r="E7" s="2">
        <v>4096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64</v>
      </c>
      <c r="D8" s="2" t="s">
        <v>2</v>
      </c>
      <c r="E8" s="2">
        <v>4096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128</v>
      </c>
      <c r="D9" s="2" t="s">
        <v>2</v>
      </c>
      <c r="E9" s="2">
        <v>4096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256</v>
      </c>
      <c r="D10" s="2" t="s">
        <v>2</v>
      </c>
      <c r="E10" s="2">
        <v>4096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512</v>
      </c>
      <c r="D11" s="2" t="s">
        <v>2</v>
      </c>
      <c r="E11" s="2">
        <v>4096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1024</v>
      </c>
      <c r="D12" s="2" t="s">
        <v>2</v>
      </c>
      <c r="E12" s="2">
        <v>4096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2048</v>
      </c>
      <c r="D13" s="2" t="s">
        <v>2</v>
      </c>
      <c r="E13" s="2">
        <v>4096</v>
      </c>
      <c r="F13" s="2" t="s">
        <v>2</v>
      </c>
      <c r="G13" s="2"/>
      <c r="H13" s="2" t="s">
        <v>2</v>
      </c>
      <c r="J13" s="2" t="s">
        <v>2</v>
      </c>
    </row>
    <row r="14" spans="2:10" x14ac:dyDescent="0.2">
      <c r="B14" s="2" t="s">
        <v>2</v>
      </c>
      <c r="C14" s="2">
        <v>4096</v>
      </c>
      <c r="D14" s="2" t="s">
        <v>2</v>
      </c>
      <c r="E14" s="2">
        <v>4096</v>
      </c>
      <c r="F14" s="2" t="s">
        <v>2</v>
      </c>
      <c r="G14" s="2">
        <v>1</v>
      </c>
      <c r="H14" s="2" t="s">
        <v>2</v>
      </c>
      <c r="J14" s="2" t="s">
        <v>2</v>
      </c>
    </row>
    <row r="15" spans="2:10" x14ac:dyDescent="0.2">
      <c r="B15" s="2" t="s">
        <v>2</v>
      </c>
      <c r="C15" s="2">
        <v>8192</v>
      </c>
      <c r="D15" s="2" t="s">
        <v>2</v>
      </c>
      <c r="E15" s="2">
        <v>4096</v>
      </c>
      <c r="F15" s="2" t="s">
        <v>2</v>
      </c>
      <c r="G15" s="2">
        <v>2</v>
      </c>
      <c r="H15" s="2" t="s">
        <v>2</v>
      </c>
      <c r="I15" s="5">
        <f>(16*1024*1024-FLOOR((16*1024*1024-4096*3)/(C15), 1)*C15-4096*3)/(16*1024*1024)</f>
        <v>2.44140625E-4</v>
      </c>
      <c r="J15" s="2" t="s">
        <v>2</v>
      </c>
    </row>
    <row r="16" spans="2:10" x14ac:dyDescent="0.2">
      <c r="B16" s="2" t="s">
        <v>2</v>
      </c>
      <c r="C16" s="2">
        <v>16384</v>
      </c>
      <c r="D16" s="2" t="s">
        <v>2</v>
      </c>
      <c r="E16" s="2">
        <v>4096</v>
      </c>
      <c r="F16" s="2" t="s">
        <v>2</v>
      </c>
      <c r="G16" s="2">
        <v>4</v>
      </c>
      <c r="H16" s="2" t="s">
        <v>2</v>
      </c>
      <c r="I16" s="5">
        <f t="shared" ref="I16:I20" si="0">(16*1024*1024-FLOOR((16*1024*1024-4096*3)/(C16), 1)*C16-4096*3)/(16*1024*1024)</f>
        <v>2.44140625E-4</v>
      </c>
      <c r="J16" s="2" t="s">
        <v>2</v>
      </c>
    </row>
    <row r="17" spans="2:10" x14ac:dyDescent="0.2">
      <c r="B17" s="2" t="s">
        <v>2</v>
      </c>
      <c r="C17" s="2">
        <v>32768</v>
      </c>
      <c r="D17" s="2" t="s">
        <v>2</v>
      </c>
      <c r="E17" s="2">
        <v>4096</v>
      </c>
      <c r="F17" s="2" t="s">
        <v>2</v>
      </c>
      <c r="G17" s="2">
        <v>8</v>
      </c>
      <c r="H17" s="2" t="s">
        <v>2</v>
      </c>
      <c r="I17" s="5">
        <f t="shared" si="0"/>
        <v>1.220703125E-3</v>
      </c>
      <c r="J17" s="2" t="s">
        <v>2</v>
      </c>
    </row>
    <row r="18" spans="2:10" x14ac:dyDescent="0.2">
      <c r="B18" s="2" t="s">
        <v>2</v>
      </c>
      <c r="C18" s="2">
        <v>65536</v>
      </c>
      <c r="D18" s="2" t="s">
        <v>2</v>
      </c>
      <c r="E18" s="2">
        <v>4096</v>
      </c>
      <c r="F18" s="2" t="s">
        <v>2</v>
      </c>
      <c r="G18" s="2">
        <v>16</v>
      </c>
      <c r="H18" s="2" t="s">
        <v>2</v>
      </c>
      <c r="I18" s="5">
        <f t="shared" si="0"/>
        <v>3.173828125E-3</v>
      </c>
      <c r="J18" s="2" t="s">
        <v>2</v>
      </c>
    </row>
    <row r="19" spans="2:10" x14ac:dyDescent="0.2">
      <c r="B19" s="2" t="s">
        <v>2</v>
      </c>
      <c r="C19" s="2">
        <v>131072</v>
      </c>
      <c r="D19" s="2" t="s">
        <v>2</v>
      </c>
      <c r="E19" s="2">
        <v>4096</v>
      </c>
      <c r="F19" s="2" t="s">
        <v>2</v>
      </c>
      <c r="G19" s="2">
        <v>32</v>
      </c>
      <c r="H19" s="2" t="s">
        <v>2</v>
      </c>
      <c r="I19" s="5">
        <f t="shared" si="0"/>
        <v>7.080078125E-3</v>
      </c>
      <c r="J19" s="2" t="s">
        <v>2</v>
      </c>
    </row>
    <row r="20" spans="2:10" x14ac:dyDescent="0.2">
      <c r="B20" s="2" t="s">
        <v>2</v>
      </c>
      <c r="C20" s="2">
        <v>262144</v>
      </c>
      <c r="D20" s="2" t="s">
        <v>2</v>
      </c>
      <c r="E20" s="2">
        <v>4096</v>
      </c>
      <c r="F20" s="2" t="s">
        <v>2</v>
      </c>
      <c r="G20" s="2">
        <v>64</v>
      </c>
      <c r="H20" s="2" t="s">
        <v>2</v>
      </c>
      <c r="I20" s="5">
        <f t="shared" si="0"/>
        <v>1.4892578125E-2</v>
      </c>
      <c r="J20" s="2" t="s">
        <v>2</v>
      </c>
    </row>
    <row r="23" spans="2:10" x14ac:dyDescent="0.2">
      <c r="B23" s="2" t="s">
        <v>2</v>
      </c>
      <c r="C23" s="2"/>
      <c r="D23" s="2" t="s">
        <v>2</v>
      </c>
      <c r="E23" s="2"/>
      <c r="F23" s="2" t="s">
        <v>2</v>
      </c>
      <c r="G23" s="2"/>
      <c r="H23" s="2"/>
    </row>
    <row r="24" spans="2:10" x14ac:dyDescent="0.2">
      <c r="B24" s="2" t="s">
        <v>2</v>
      </c>
      <c r="C24" s="2" t="s">
        <v>10</v>
      </c>
      <c r="D24" s="2" t="s">
        <v>2</v>
      </c>
      <c r="E24" s="2" t="s">
        <v>5</v>
      </c>
      <c r="F24" s="2" t="s">
        <v>2</v>
      </c>
      <c r="G24" s="2"/>
      <c r="H24" s="2"/>
    </row>
    <row r="25" spans="2:10" x14ac:dyDescent="0.2">
      <c r="B25" s="2" t="s">
        <v>2</v>
      </c>
      <c r="C25" s="2" t="s">
        <v>16</v>
      </c>
      <c r="D25" s="2" t="s">
        <v>2</v>
      </c>
      <c r="E25" s="2">
        <v>1</v>
      </c>
      <c r="F25" s="2" t="s">
        <v>2</v>
      </c>
      <c r="G25" s="2"/>
      <c r="H25" s="2"/>
    </row>
    <row r="26" spans="2:10" x14ac:dyDescent="0.2">
      <c r="B26" s="2" t="s">
        <v>2</v>
      </c>
      <c r="C26" s="2" t="s">
        <v>6</v>
      </c>
      <c r="D26" s="2" t="s">
        <v>2</v>
      </c>
      <c r="E26">
        <f>4096*E25</f>
        <v>4096</v>
      </c>
      <c r="F26" s="2" t="s">
        <v>2</v>
      </c>
      <c r="G26" s="2"/>
      <c r="H26" s="2"/>
    </row>
    <row r="27" spans="2:10" x14ac:dyDescent="0.2">
      <c r="B27" s="2" t="s">
        <v>2</v>
      </c>
      <c r="C27" s="2" t="s">
        <v>12</v>
      </c>
      <c r="D27" s="2" t="s">
        <v>2</v>
      </c>
      <c r="E27" s="3">
        <v>4093</v>
      </c>
      <c r="F27" s="2" t="s">
        <v>2</v>
      </c>
      <c r="G27" s="2"/>
      <c r="H27" s="2"/>
    </row>
    <row r="28" spans="2:10" x14ac:dyDescent="0.2">
      <c r="B28" s="2" t="s">
        <v>2</v>
      </c>
      <c r="C28" s="2" t="s">
        <v>13</v>
      </c>
      <c r="D28" s="2" t="s">
        <v>2</v>
      </c>
      <c r="E28" s="2">
        <f>3*4096</f>
        <v>12288</v>
      </c>
      <c r="F28" s="2" t="s">
        <v>2</v>
      </c>
      <c r="G28" s="2"/>
      <c r="H28" s="2"/>
    </row>
    <row r="29" spans="2:10" x14ac:dyDescent="0.2">
      <c r="B29" s="2" t="s">
        <v>2</v>
      </c>
      <c r="C29" s="2" t="s">
        <v>14</v>
      </c>
      <c r="D29" s="2" t="s">
        <v>2</v>
      </c>
      <c r="E29" s="2">
        <v>0</v>
      </c>
      <c r="F29" s="2" t="s">
        <v>2</v>
      </c>
      <c r="G29" s="2"/>
      <c r="H29" s="2"/>
    </row>
    <row r="30" spans="2:10" x14ac:dyDescent="0.2">
      <c r="B30" s="2" t="s">
        <v>2</v>
      </c>
      <c r="C30" s="2" t="s">
        <v>15</v>
      </c>
      <c r="D30" s="2" t="s">
        <v>2</v>
      </c>
      <c r="E30" s="4">
        <f>SUM(E28:E29)/(4*1024*1024)</f>
        <v>2.9296875E-3</v>
      </c>
      <c r="F30" s="2" t="s">
        <v>2</v>
      </c>
      <c r="G30" s="2"/>
      <c r="H30" s="2"/>
    </row>
    <row r="31" spans="2:10" x14ac:dyDescent="0.2">
      <c r="B31" s="2"/>
      <c r="C31" s="2"/>
      <c r="D31" s="2"/>
      <c r="E31" s="2"/>
      <c r="F31" s="2"/>
      <c r="G31" s="2"/>
      <c r="H31" s="2"/>
    </row>
    <row r="32" spans="2:10" x14ac:dyDescent="0.2">
      <c r="B32" s="2"/>
      <c r="C32" s="2"/>
      <c r="D32" s="2"/>
      <c r="E32" s="2"/>
      <c r="F32" s="2"/>
      <c r="G32" s="2"/>
      <c r="H32" s="2"/>
    </row>
    <row r="33" spans="2:11" x14ac:dyDescent="0.2">
      <c r="B33" s="2"/>
      <c r="C33" s="2"/>
      <c r="D33" s="2"/>
      <c r="E33" s="2"/>
      <c r="F33" s="2"/>
      <c r="G33" s="2"/>
      <c r="H33" s="2"/>
    </row>
    <row r="34" spans="2:11" x14ac:dyDescent="0.2">
      <c r="B34" t="s">
        <v>2</v>
      </c>
      <c r="C34" t="s">
        <v>0</v>
      </c>
      <c r="D34" t="s">
        <v>2</v>
      </c>
      <c r="E34" t="s">
        <v>3</v>
      </c>
      <c r="G34" t="s">
        <v>2</v>
      </c>
      <c r="H34" t="s">
        <v>7</v>
      </c>
      <c r="I34" t="s">
        <v>2</v>
      </c>
      <c r="J34" t="s">
        <v>15</v>
      </c>
      <c r="K34" t="s">
        <v>2</v>
      </c>
    </row>
    <row r="35" spans="2:11" x14ac:dyDescent="0.2">
      <c r="B35" t="s">
        <v>2</v>
      </c>
      <c r="C35" s="1" t="s">
        <v>5</v>
      </c>
      <c r="D35" t="s">
        <v>2</v>
      </c>
      <c r="E35" t="s">
        <v>4</v>
      </c>
      <c r="F35" s="1" t="s">
        <v>5</v>
      </c>
      <c r="G35" t="s">
        <v>2</v>
      </c>
      <c r="H35" s="1" t="s">
        <v>5</v>
      </c>
      <c r="I35" t="s">
        <v>2</v>
      </c>
      <c r="J35" s="1"/>
      <c r="K35" t="s">
        <v>2</v>
      </c>
    </row>
    <row r="36" spans="2:11" x14ac:dyDescent="0.2">
      <c r="B36" t="s">
        <v>2</v>
      </c>
      <c r="C36">
        <v>1</v>
      </c>
      <c r="D36" t="s">
        <v>2</v>
      </c>
      <c r="E36" t="s">
        <v>1</v>
      </c>
      <c r="F36">
        <v>1</v>
      </c>
      <c r="G36" t="s">
        <v>2</v>
      </c>
      <c r="H36">
        <v>4096</v>
      </c>
      <c r="I36" t="s">
        <v>2</v>
      </c>
      <c r="J36" s="5">
        <f>(H36-C36*FLOOR((H36-56)/C36,1))/H36+E30</f>
        <v>1.66015625E-2</v>
      </c>
      <c r="K36" t="s">
        <v>2</v>
      </c>
    </row>
    <row r="37" spans="2:11" x14ac:dyDescent="0.2">
      <c r="B37" t="s">
        <v>2</v>
      </c>
      <c r="C37">
        <v>2</v>
      </c>
      <c r="D37" t="s">
        <v>2</v>
      </c>
      <c r="E37" t="s">
        <v>1</v>
      </c>
      <c r="F37">
        <v>2</v>
      </c>
      <c r="G37" t="s">
        <v>2</v>
      </c>
      <c r="H37">
        <v>4096</v>
      </c>
      <c r="I37" t="s">
        <v>2</v>
      </c>
      <c r="J37" s="5">
        <f>(H37-C37*FLOOR((H37-24)/C37,1))/H37+$E$30</f>
        <v>8.7890625E-3</v>
      </c>
      <c r="K37" t="s">
        <v>2</v>
      </c>
    </row>
    <row r="38" spans="2:11" x14ac:dyDescent="0.2">
      <c r="B38" t="s">
        <v>2</v>
      </c>
      <c r="C38">
        <v>4</v>
      </c>
      <c r="D38" t="s">
        <v>2</v>
      </c>
      <c r="E38" t="s">
        <v>1</v>
      </c>
      <c r="F38">
        <v>4</v>
      </c>
      <c r="G38" t="s">
        <v>2</v>
      </c>
      <c r="H38">
        <v>4096</v>
      </c>
      <c r="I38" t="s">
        <v>2</v>
      </c>
      <c r="J38" s="5">
        <f t="shared" ref="J38:J41" si="1">(H38-C38*FLOOR((H38-24)/C38,1))/H38+$E$30</f>
        <v>8.7890625E-3</v>
      </c>
      <c r="K38" t="s">
        <v>2</v>
      </c>
    </row>
    <row r="39" spans="2:11" x14ac:dyDescent="0.2">
      <c r="B39" t="s">
        <v>2</v>
      </c>
      <c r="C39">
        <v>8</v>
      </c>
      <c r="D39" t="s">
        <v>2</v>
      </c>
      <c r="E39" t="s">
        <v>1</v>
      </c>
      <c r="F39">
        <v>8</v>
      </c>
      <c r="G39" t="s">
        <v>2</v>
      </c>
      <c r="H39">
        <v>4096</v>
      </c>
      <c r="I39" t="s">
        <v>2</v>
      </c>
      <c r="J39" s="5">
        <f t="shared" si="1"/>
        <v>8.7890625E-3</v>
      </c>
      <c r="K39" t="s">
        <v>2</v>
      </c>
    </row>
    <row r="40" spans="2:11" x14ac:dyDescent="0.2">
      <c r="B40" t="s">
        <v>2</v>
      </c>
      <c r="C40">
        <v>12</v>
      </c>
      <c r="D40" t="s">
        <v>2</v>
      </c>
      <c r="E40" t="s">
        <v>1</v>
      </c>
      <c r="F40">
        <v>12</v>
      </c>
      <c r="G40" t="s">
        <v>2</v>
      </c>
      <c r="H40">
        <v>4096</v>
      </c>
      <c r="I40" t="s">
        <v>2</v>
      </c>
      <c r="J40" s="5">
        <f t="shared" si="1"/>
        <v>9.765625E-3</v>
      </c>
      <c r="K40" t="s">
        <v>2</v>
      </c>
    </row>
    <row r="41" spans="2:11" x14ac:dyDescent="0.2">
      <c r="B41" t="s">
        <v>2</v>
      </c>
      <c r="C41">
        <v>16</v>
      </c>
      <c r="D41" t="s">
        <v>2</v>
      </c>
      <c r="E41" t="s">
        <v>1</v>
      </c>
      <c r="F41">
        <v>16</v>
      </c>
      <c r="G41" t="s">
        <v>2</v>
      </c>
      <c r="H41">
        <v>4096</v>
      </c>
      <c r="I41" t="s">
        <v>2</v>
      </c>
      <c r="J41" s="5">
        <f t="shared" si="1"/>
        <v>1.07421875E-2</v>
      </c>
      <c r="K41" t="s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J32"/>
  <sheetViews>
    <sheetView workbookViewId="0">
      <selection activeCell="F41" sqref="F41"/>
    </sheetView>
  </sheetViews>
  <sheetFormatPr baseColWidth="10" defaultRowHeight="16" x14ac:dyDescent="0.2"/>
  <sheetData>
    <row r="5" spans="2:10" x14ac:dyDescent="0.2">
      <c r="B5" s="2" t="s">
        <v>2</v>
      </c>
      <c r="C5" s="2" t="s">
        <v>0</v>
      </c>
      <c r="D5" s="2" t="s">
        <v>2</v>
      </c>
      <c r="E5" s="2" t="s">
        <v>7</v>
      </c>
      <c r="F5" s="2" t="s">
        <v>2</v>
      </c>
      <c r="G5" s="2" t="s">
        <v>8</v>
      </c>
      <c r="H5" s="2" t="s">
        <v>2</v>
      </c>
      <c r="I5" s="2" t="s">
        <v>18</v>
      </c>
      <c r="J5" s="2" t="s">
        <v>2</v>
      </c>
    </row>
    <row r="6" spans="2:10" x14ac:dyDescent="0.2">
      <c r="B6" s="2" t="s">
        <v>2</v>
      </c>
      <c r="C6" s="2" t="s">
        <v>5</v>
      </c>
      <c r="D6" s="2" t="s">
        <v>2</v>
      </c>
      <c r="E6" s="2" t="s">
        <v>5</v>
      </c>
      <c r="F6" s="2" t="s">
        <v>2</v>
      </c>
      <c r="G6" s="2" t="s">
        <v>5</v>
      </c>
      <c r="H6" s="2" t="s">
        <v>2</v>
      </c>
      <c r="I6" s="2" t="s">
        <v>5</v>
      </c>
      <c r="J6" s="2" t="s">
        <v>2</v>
      </c>
    </row>
    <row r="7" spans="2:10" x14ac:dyDescent="0.2">
      <c r="B7" s="2" t="s">
        <v>2</v>
      </c>
      <c r="C7" s="2">
        <v>36</v>
      </c>
      <c r="D7" s="2" t="s">
        <v>2</v>
      </c>
      <c r="E7" s="2">
        <v>36864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72</v>
      </c>
      <c r="D8" s="2" t="s">
        <v>2</v>
      </c>
      <c r="E8" s="2">
        <v>36864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144</v>
      </c>
      <c r="D9" s="2" t="s">
        <v>2</v>
      </c>
      <c r="E9" s="2">
        <v>36864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288</v>
      </c>
      <c r="D10" s="2" t="s">
        <v>2</v>
      </c>
      <c r="E10" s="2">
        <v>36864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576</v>
      </c>
      <c r="D11" s="2" t="s">
        <v>2</v>
      </c>
      <c r="E11" s="2">
        <v>36864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1152</v>
      </c>
      <c r="D12" s="2" t="s">
        <v>2</v>
      </c>
      <c r="E12" s="2">
        <v>36864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2304</v>
      </c>
      <c r="D13" s="2" t="s">
        <v>2</v>
      </c>
      <c r="E13" s="2">
        <v>36864</v>
      </c>
      <c r="F13" s="2" t="s">
        <v>2</v>
      </c>
      <c r="G13" s="2"/>
      <c r="H13" s="2" t="s">
        <v>2</v>
      </c>
      <c r="J13" s="2" t="s">
        <v>2</v>
      </c>
    </row>
    <row r="14" spans="2:10" x14ac:dyDescent="0.2">
      <c r="B14" s="2" t="s">
        <v>2</v>
      </c>
      <c r="C14" s="2">
        <v>4608</v>
      </c>
      <c r="D14" s="2" t="s">
        <v>2</v>
      </c>
      <c r="E14" s="2">
        <v>36864</v>
      </c>
      <c r="F14" s="2" t="s">
        <v>2</v>
      </c>
      <c r="G14" s="2"/>
      <c r="H14" s="2" t="s">
        <v>2</v>
      </c>
      <c r="J14" s="2" t="s">
        <v>2</v>
      </c>
    </row>
    <row r="15" spans="2:10" x14ac:dyDescent="0.2">
      <c r="B15" s="2" t="s">
        <v>2</v>
      </c>
      <c r="C15" s="2">
        <v>9216</v>
      </c>
      <c r="D15" s="2" t="s">
        <v>2</v>
      </c>
      <c r="E15" s="2">
        <v>36864</v>
      </c>
      <c r="F15" s="2" t="s">
        <v>2</v>
      </c>
      <c r="G15" s="2"/>
      <c r="H15" s="2" t="s">
        <v>2</v>
      </c>
      <c r="I15" s="5"/>
      <c r="J15" s="2" t="s">
        <v>2</v>
      </c>
    </row>
    <row r="16" spans="2:10" x14ac:dyDescent="0.2">
      <c r="B16" s="2" t="s">
        <v>2</v>
      </c>
      <c r="C16" s="2">
        <v>18432</v>
      </c>
      <c r="D16" s="2" t="s">
        <v>2</v>
      </c>
      <c r="E16" s="2">
        <v>36864</v>
      </c>
      <c r="F16" s="2" t="s">
        <v>2</v>
      </c>
      <c r="G16" s="2"/>
      <c r="H16" s="2" t="s">
        <v>2</v>
      </c>
      <c r="I16" s="5"/>
      <c r="J16" s="2" t="s">
        <v>2</v>
      </c>
    </row>
    <row r="17" spans="2:10" x14ac:dyDescent="0.2">
      <c r="B17" s="2" t="s">
        <v>2</v>
      </c>
      <c r="C17" s="2">
        <v>36864</v>
      </c>
      <c r="D17" s="2" t="s">
        <v>2</v>
      </c>
      <c r="E17" s="2">
        <v>36864</v>
      </c>
      <c r="F17" s="2" t="s">
        <v>2</v>
      </c>
      <c r="G17" s="2">
        <v>1</v>
      </c>
      <c r="H17" s="2" t="s">
        <v>2</v>
      </c>
      <c r="I17" s="5"/>
      <c r="J17" s="2" t="s">
        <v>2</v>
      </c>
    </row>
    <row r="18" spans="2:10" x14ac:dyDescent="0.2">
      <c r="B18" s="2" t="s">
        <v>2</v>
      </c>
      <c r="C18" s="2">
        <v>73728</v>
      </c>
      <c r="D18" s="2" t="s">
        <v>2</v>
      </c>
      <c r="E18" s="2">
        <v>36864</v>
      </c>
      <c r="F18" s="2" t="s">
        <v>2</v>
      </c>
      <c r="G18" s="2">
        <v>2</v>
      </c>
      <c r="H18" s="2" t="s">
        <v>2</v>
      </c>
      <c r="I18" s="5">
        <f t="shared" ref="I18:I19" si="0">(16*1024*1024-FLOOR((16*1024*1024-4096)/(C18), 1)*C18-4096)/(16*1024*1024)</f>
        <v>2.197265625E-3</v>
      </c>
      <c r="J18" s="2" t="s">
        <v>2</v>
      </c>
    </row>
    <row r="19" spans="2:10" x14ac:dyDescent="0.2">
      <c r="B19" s="2" t="s">
        <v>2</v>
      </c>
      <c r="C19" s="2">
        <v>147456</v>
      </c>
      <c r="D19" s="2" t="s">
        <v>2</v>
      </c>
      <c r="E19" s="2">
        <v>36864</v>
      </c>
      <c r="F19" s="2" t="s">
        <v>2</v>
      </c>
      <c r="G19" s="2">
        <v>4</v>
      </c>
      <c r="H19" s="2" t="s">
        <v>2</v>
      </c>
      <c r="I19" s="5">
        <f t="shared" si="0"/>
        <v>6.591796875E-3</v>
      </c>
      <c r="J19" s="2" t="s">
        <v>2</v>
      </c>
    </row>
    <row r="20" spans="2:10" x14ac:dyDescent="0.2">
      <c r="B20" s="2" t="s">
        <v>2</v>
      </c>
      <c r="C20" s="2">
        <v>294912</v>
      </c>
      <c r="D20" s="2" t="s">
        <v>2</v>
      </c>
      <c r="E20" s="2">
        <v>36864</v>
      </c>
      <c r="F20" s="2" t="s">
        <v>2</v>
      </c>
      <c r="G20" s="2">
        <v>8</v>
      </c>
      <c r="H20" s="2" t="s">
        <v>2</v>
      </c>
      <c r="I20" s="5">
        <f>(16*1024*1024-FLOOR((16*1024*1024-4096)/(C20), 1)*C20-4096)/(16*1024*1024)</f>
        <v>1.5380859375E-2</v>
      </c>
      <c r="J20" s="2" t="s">
        <v>2</v>
      </c>
    </row>
    <row r="25" spans="2:10" x14ac:dyDescent="0.2">
      <c r="B25" s="2" t="s">
        <v>2</v>
      </c>
      <c r="C25" s="2"/>
      <c r="D25" s="2" t="s">
        <v>2</v>
      </c>
      <c r="E25" s="2"/>
      <c r="F25" s="2" t="s">
        <v>2</v>
      </c>
    </row>
    <row r="26" spans="2:10" x14ac:dyDescent="0.2">
      <c r="B26" s="2" t="s">
        <v>2</v>
      </c>
      <c r="C26" s="2" t="s">
        <v>10</v>
      </c>
      <c r="D26" s="2" t="s">
        <v>2</v>
      </c>
      <c r="E26" s="2" t="s">
        <v>5</v>
      </c>
      <c r="F26" s="2" t="s">
        <v>2</v>
      </c>
    </row>
    <row r="27" spans="2:10" x14ac:dyDescent="0.2">
      <c r="B27" s="2" t="s">
        <v>2</v>
      </c>
      <c r="C27" s="2" t="s">
        <v>16</v>
      </c>
      <c r="D27" s="2" t="s">
        <v>2</v>
      </c>
      <c r="E27" s="2">
        <v>9</v>
      </c>
      <c r="F27" s="2" t="s">
        <v>2</v>
      </c>
    </row>
    <row r="28" spans="2:10" x14ac:dyDescent="0.2">
      <c r="B28" s="2" t="s">
        <v>2</v>
      </c>
      <c r="C28" s="2" t="s">
        <v>6</v>
      </c>
      <c r="D28" s="2" t="s">
        <v>2</v>
      </c>
      <c r="E28">
        <f>4096*E27</f>
        <v>36864</v>
      </c>
      <c r="F28" s="2" t="s">
        <v>2</v>
      </c>
    </row>
    <row r="29" spans="2:10" x14ac:dyDescent="0.2">
      <c r="B29" s="2" t="s">
        <v>2</v>
      </c>
      <c r="C29" s="2" t="s">
        <v>12</v>
      </c>
      <c r="D29" s="2" t="s">
        <v>2</v>
      </c>
      <c r="E29" s="3">
        <v>455</v>
      </c>
      <c r="F29" s="2" t="s">
        <v>2</v>
      </c>
    </row>
    <row r="30" spans="2:10" x14ac:dyDescent="0.2">
      <c r="B30" s="2" t="s">
        <v>2</v>
      </c>
      <c r="C30" s="2" t="s">
        <v>13</v>
      </c>
      <c r="D30" s="2" t="s">
        <v>2</v>
      </c>
      <c r="E30" s="2">
        <v>4096</v>
      </c>
      <c r="F30" s="2" t="s">
        <v>2</v>
      </c>
    </row>
    <row r="31" spans="2:10" x14ac:dyDescent="0.2">
      <c r="B31" s="2" t="s">
        <v>2</v>
      </c>
      <c r="C31" s="2" t="s">
        <v>14</v>
      </c>
      <c r="D31" s="2" t="s">
        <v>2</v>
      </c>
      <c r="E31" s="2">
        <v>0</v>
      </c>
      <c r="F31" s="2" t="s">
        <v>2</v>
      </c>
    </row>
    <row r="32" spans="2:10" x14ac:dyDescent="0.2">
      <c r="B32" s="2" t="s">
        <v>2</v>
      </c>
      <c r="C32" s="2" t="s">
        <v>15</v>
      </c>
      <c r="D32" s="2" t="s">
        <v>2</v>
      </c>
      <c r="E32" s="4">
        <f>SUM(E30:E31)/(4*1024*1024)</f>
        <v>9.765625E-4</v>
      </c>
      <c r="F32" s="2" t="s">
        <v>2</v>
      </c>
    </row>
  </sheetData>
  <pageMargins left="0.75" right="0.75" top="1" bottom="1" header="0.5" footer="0.5"/>
  <pageSetup paperSize="9" orientation="portrait" horizontalDpi="4294967292" verticalDpi="4294967292"/>
  <ignoredErrors>
    <ignoredError sqref="E32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J32"/>
  <sheetViews>
    <sheetView workbookViewId="0">
      <selection activeCell="B4" sqref="B4:J20"/>
    </sheetView>
  </sheetViews>
  <sheetFormatPr baseColWidth="10" defaultRowHeight="16" x14ac:dyDescent="0.2"/>
  <sheetData>
    <row r="4" spans="2:10" x14ac:dyDescent="0.2">
      <c r="B4" s="2" t="s">
        <v>2</v>
      </c>
      <c r="C4" s="2" t="s">
        <v>0</v>
      </c>
      <c r="D4" s="2" t="s">
        <v>2</v>
      </c>
      <c r="E4" s="2" t="s">
        <v>7</v>
      </c>
      <c r="F4" s="2" t="s">
        <v>2</v>
      </c>
      <c r="G4" s="2" t="s">
        <v>8</v>
      </c>
      <c r="H4" s="2" t="s">
        <v>2</v>
      </c>
      <c r="I4" s="2" t="s">
        <v>18</v>
      </c>
      <c r="J4" s="2" t="s">
        <v>2</v>
      </c>
    </row>
    <row r="5" spans="2:10" x14ac:dyDescent="0.2">
      <c r="B5" s="2" t="s">
        <v>2</v>
      </c>
      <c r="C5" s="2" t="s">
        <v>5</v>
      </c>
      <c r="D5" s="2" t="s">
        <v>2</v>
      </c>
      <c r="E5" s="2" t="s">
        <v>5</v>
      </c>
      <c r="F5" s="2" t="s">
        <v>2</v>
      </c>
      <c r="G5" s="2" t="s">
        <v>5</v>
      </c>
      <c r="H5" s="2" t="s">
        <v>2</v>
      </c>
      <c r="I5" s="2" t="s">
        <v>5</v>
      </c>
      <c r="J5" s="2" t="s">
        <v>2</v>
      </c>
    </row>
    <row r="6" spans="2:10" x14ac:dyDescent="0.2">
      <c r="B6" s="2" t="s">
        <v>2</v>
      </c>
      <c r="C6" s="2">
        <v>20</v>
      </c>
      <c r="D6" s="2" t="s">
        <v>2</v>
      </c>
      <c r="E6" s="2">
        <v>20480</v>
      </c>
      <c r="F6" s="2" t="s">
        <v>2</v>
      </c>
      <c r="G6" s="2"/>
      <c r="H6" s="2" t="s">
        <v>2</v>
      </c>
      <c r="J6" s="2" t="s">
        <v>2</v>
      </c>
    </row>
    <row r="7" spans="2:10" x14ac:dyDescent="0.2">
      <c r="B7" s="2" t="s">
        <v>2</v>
      </c>
      <c r="C7" s="2">
        <v>40</v>
      </c>
      <c r="D7" s="2" t="s">
        <v>2</v>
      </c>
      <c r="E7" s="2">
        <v>20480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80</v>
      </c>
      <c r="D8" s="2" t="s">
        <v>2</v>
      </c>
      <c r="E8" s="2">
        <v>20480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160</v>
      </c>
      <c r="D9" s="2" t="s">
        <v>2</v>
      </c>
      <c r="E9" s="2">
        <v>20480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320</v>
      </c>
      <c r="D10" s="2" t="s">
        <v>2</v>
      </c>
      <c r="E10" s="2">
        <v>20480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640</v>
      </c>
      <c r="D11" s="2" t="s">
        <v>2</v>
      </c>
      <c r="E11" s="2">
        <v>20480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1280</v>
      </c>
      <c r="D12" s="2" t="s">
        <v>2</v>
      </c>
      <c r="E12" s="2">
        <v>20480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2560</v>
      </c>
      <c r="D13" s="2" t="s">
        <v>2</v>
      </c>
      <c r="E13" s="2">
        <v>20480</v>
      </c>
      <c r="F13" s="2" t="s">
        <v>2</v>
      </c>
      <c r="G13" s="2"/>
      <c r="H13" s="2" t="s">
        <v>2</v>
      </c>
      <c r="J13" s="2" t="s">
        <v>2</v>
      </c>
    </row>
    <row r="14" spans="2:10" x14ac:dyDescent="0.2">
      <c r="B14" s="2" t="s">
        <v>2</v>
      </c>
      <c r="C14" s="2">
        <v>5120</v>
      </c>
      <c r="D14" s="2" t="s">
        <v>2</v>
      </c>
      <c r="E14" s="2">
        <v>20480</v>
      </c>
      <c r="F14" s="2" t="s">
        <v>2</v>
      </c>
      <c r="G14" s="2"/>
      <c r="H14" s="2" t="s">
        <v>2</v>
      </c>
      <c r="I14" s="5"/>
      <c r="J14" s="2" t="s">
        <v>2</v>
      </c>
    </row>
    <row r="15" spans="2:10" x14ac:dyDescent="0.2">
      <c r="B15" s="2" t="s">
        <v>2</v>
      </c>
      <c r="C15" s="2">
        <v>10240</v>
      </c>
      <c r="D15" s="2" t="s">
        <v>2</v>
      </c>
      <c r="E15" s="2">
        <v>20480</v>
      </c>
      <c r="F15" s="2" t="s">
        <v>2</v>
      </c>
      <c r="G15" s="2"/>
      <c r="H15" s="2" t="s">
        <v>2</v>
      </c>
      <c r="I15" s="5"/>
      <c r="J15" s="2" t="s">
        <v>2</v>
      </c>
    </row>
    <row r="16" spans="2:10" x14ac:dyDescent="0.2">
      <c r="B16" s="2" t="s">
        <v>2</v>
      </c>
      <c r="C16" s="2">
        <v>20480</v>
      </c>
      <c r="D16" s="2" t="s">
        <v>2</v>
      </c>
      <c r="E16" s="2">
        <v>20480</v>
      </c>
      <c r="F16" s="2" t="s">
        <v>2</v>
      </c>
      <c r="G16" s="2">
        <v>1</v>
      </c>
      <c r="H16" s="2" t="s">
        <v>2</v>
      </c>
      <c r="I16" s="5"/>
      <c r="J16" s="2" t="s">
        <v>2</v>
      </c>
    </row>
    <row r="17" spans="2:10" x14ac:dyDescent="0.2">
      <c r="B17" s="2" t="s">
        <v>2</v>
      </c>
      <c r="C17" s="2">
        <v>40960</v>
      </c>
      <c r="D17" s="2" t="s">
        <v>2</v>
      </c>
      <c r="E17" s="2">
        <v>20480</v>
      </c>
      <c r="F17" s="2" t="s">
        <v>2</v>
      </c>
      <c r="G17" s="2">
        <v>2</v>
      </c>
      <c r="H17" s="2" t="s">
        <v>2</v>
      </c>
      <c r="I17" s="5">
        <f t="shared" ref="I17:I18" si="0">(16*1024*1024-FLOOR((16*1024*1024-4096)/(C17), 1)*C17-4096)/(16*1024*1024)</f>
        <v>1.220703125E-3</v>
      </c>
      <c r="J17" s="2" t="s">
        <v>2</v>
      </c>
    </row>
    <row r="18" spans="2:10" x14ac:dyDescent="0.2">
      <c r="B18" s="2" t="s">
        <v>2</v>
      </c>
      <c r="C18" s="2">
        <v>81920</v>
      </c>
      <c r="D18" s="2" t="s">
        <v>2</v>
      </c>
      <c r="E18" s="2">
        <v>20480</v>
      </c>
      <c r="F18" s="2" t="s">
        <v>2</v>
      </c>
      <c r="G18" s="2">
        <v>4</v>
      </c>
      <c r="H18" s="2" t="s">
        <v>2</v>
      </c>
      <c r="I18" s="5">
        <f t="shared" si="0"/>
        <v>3.662109375E-3</v>
      </c>
      <c r="J18" s="2" t="s">
        <v>2</v>
      </c>
    </row>
    <row r="19" spans="2:10" x14ac:dyDescent="0.2">
      <c r="B19" s="2" t="s">
        <v>2</v>
      </c>
      <c r="C19" s="2">
        <v>163840</v>
      </c>
      <c r="D19" s="2" t="s">
        <v>2</v>
      </c>
      <c r="E19" s="2">
        <v>20480</v>
      </c>
      <c r="F19" s="2" t="s">
        <v>2</v>
      </c>
      <c r="G19" s="2">
        <v>8</v>
      </c>
      <c r="H19" s="2" t="s">
        <v>2</v>
      </c>
      <c r="I19" s="5">
        <f>(16*1024*1024-FLOOR((16*1024*1024-4096)/(C19), 1)*C19-4096)/(16*1024*1024)</f>
        <v>3.662109375E-3</v>
      </c>
      <c r="J19" s="2" t="s">
        <v>2</v>
      </c>
    </row>
    <row r="20" spans="2:10" x14ac:dyDescent="0.2">
      <c r="B20" s="2" t="s">
        <v>2</v>
      </c>
      <c r="C20" s="2">
        <v>327680</v>
      </c>
      <c r="D20" s="2" t="s">
        <v>2</v>
      </c>
      <c r="E20" s="2">
        <v>20480</v>
      </c>
      <c r="F20" s="2" t="s">
        <v>2</v>
      </c>
      <c r="G20" s="2">
        <v>16</v>
      </c>
      <c r="H20" s="2" t="s">
        <v>2</v>
      </c>
      <c r="I20" s="5">
        <f>(16*1024*1024-FLOOR((16*1024*1024-4096)/(C20), 1)*C20-4096)/(16*1024*1024)</f>
        <v>3.662109375E-3</v>
      </c>
      <c r="J20" s="2" t="s">
        <v>2</v>
      </c>
    </row>
    <row r="25" spans="2:10" x14ac:dyDescent="0.2">
      <c r="B25" s="2" t="s">
        <v>2</v>
      </c>
      <c r="C25" s="2"/>
      <c r="D25" s="2" t="s">
        <v>2</v>
      </c>
      <c r="E25" s="2"/>
      <c r="F25" s="2" t="s">
        <v>2</v>
      </c>
    </row>
    <row r="26" spans="2:10" x14ac:dyDescent="0.2">
      <c r="B26" s="2" t="s">
        <v>2</v>
      </c>
      <c r="C26" s="2" t="s">
        <v>10</v>
      </c>
      <c r="D26" s="2" t="s">
        <v>2</v>
      </c>
      <c r="E26" s="2" t="s">
        <v>5</v>
      </c>
      <c r="F26" s="2" t="s">
        <v>2</v>
      </c>
    </row>
    <row r="27" spans="2:10" x14ac:dyDescent="0.2">
      <c r="B27" s="2" t="s">
        <v>2</v>
      </c>
      <c r="C27" s="2" t="s">
        <v>16</v>
      </c>
      <c r="D27" s="2" t="s">
        <v>2</v>
      </c>
      <c r="E27" s="2">
        <v>5</v>
      </c>
      <c r="F27" s="2" t="s">
        <v>2</v>
      </c>
    </row>
    <row r="28" spans="2:10" x14ac:dyDescent="0.2">
      <c r="B28" s="2" t="s">
        <v>2</v>
      </c>
      <c r="C28" s="2" t="s">
        <v>6</v>
      </c>
      <c r="D28" s="2" t="s">
        <v>2</v>
      </c>
      <c r="E28">
        <f>4096*E27</f>
        <v>20480</v>
      </c>
      <c r="F28" s="2" t="s">
        <v>2</v>
      </c>
    </row>
    <row r="29" spans="2:10" x14ac:dyDescent="0.2">
      <c r="B29" s="2" t="s">
        <v>2</v>
      </c>
      <c r="C29" s="2" t="s">
        <v>12</v>
      </c>
      <c r="D29" s="2" t="s">
        <v>2</v>
      </c>
      <c r="E29" s="3">
        <v>819</v>
      </c>
      <c r="F29" s="2" t="s">
        <v>2</v>
      </c>
    </row>
    <row r="30" spans="2:10" x14ac:dyDescent="0.2">
      <c r="B30" s="2" t="s">
        <v>2</v>
      </c>
      <c r="C30" s="2" t="s">
        <v>13</v>
      </c>
      <c r="D30" s="2" t="s">
        <v>2</v>
      </c>
      <c r="E30" s="2">
        <v>4096</v>
      </c>
      <c r="F30" s="2" t="s">
        <v>2</v>
      </c>
    </row>
    <row r="31" spans="2:10" x14ac:dyDescent="0.2">
      <c r="B31" s="2" t="s">
        <v>2</v>
      </c>
      <c r="C31" s="2" t="s">
        <v>14</v>
      </c>
      <c r="D31" s="2" t="s">
        <v>2</v>
      </c>
      <c r="E31" s="2">
        <v>0</v>
      </c>
      <c r="F31" s="2" t="s">
        <v>2</v>
      </c>
    </row>
    <row r="32" spans="2:10" x14ac:dyDescent="0.2">
      <c r="B32" s="2" t="s">
        <v>2</v>
      </c>
      <c r="C32" s="2" t="s">
        <v>15</v>
      </c>
      <c r="D32" s="2" t="s">
        <v>2</v>
      </c>
      <c r="E32" s="4">
        <f>SUM(E30:E31)/(4*1024*1024)</f>
        <v>9.765625E-4</v>
      </c>
      <c r="F32" s="2" t="s">
        <v>2</v>
      </c>
    </row>
  </sheetData>
  <pageMargins left="0.75" right="0.75" top="1" bottom="1" header="0.5" footer="0.5"/>
  <pageSetup paperSize="9" orientation="portrait" horizontalDpi="4294967292" verticalDpi="4294967292"/>
  <ignoredErrors>
    <ignoredError sqref="E32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J33"/>
  <sheetViews>
    <sheetView workbookViewId="0">
      <selection activeCell="I20" sqref="I20"/>
    </sheetView>
  </sheetViews>
  <sheetFormatPr baseColWidth="10" defaultRowHeight="16" x14ac:dyDescent="0.2"/>
  <cols>
    <col min="3" max="3" width="21.1640625" customWidth="1"/>
  </cols>
  <sheetData>
    <row r="5" spans="2:10" x14ac:dyDescent="0.2">
      <c r="B5" s="2" t="s">
        <v>2</v>
      </c>
      <c r="C5" s="2" t="s">
        <v>0</v>
      </c>
      <c r="D5" s="2" t="s">
        <v>2</v>
      </c>
      <c r="E5" s="2" t="s">
        <v>7</v>
      </c>
      <c r="F5" s="2" t="s">
        <v>2</v>
      </c>
      <c r="G5" s="2" t="s">
        <v>8</v>
      </c>
      <c r="H5" s="2" t="s">
        <v>2</v>
      </c>
      <c r="I5" s="2" t="s">
        <v>18</v>
      </c>
      <c r="J5" s="2" t="s">
        <v>2</v>
      </c>
    </row>
    <row r="6" spans="2:10" x14ac:dyDescent="0.2">
      <c r="B6" s="2" t="s">
        <v>2</v>
      </c>
      <c r="C6" s="2" t="s">
        <v>5</v>
      </c>
      <c r="D6" s="2" t="s">
        <v>2</v>
      </c>
      <c r="E6" s="2" t="s">
        <v>5</v>
      </c>
      <c r="F6" s="2" t="s">
        <v>2</v>
      </c>
      <c r="G6" s="2" t="s">
        <v>5</v>
      </c>
      <c r="H6" s="2" t="s">
        <v>2</v>
      </c>
      <c r="I6" s="2" t="s">
        <v>5</v>
      </c>
      <c r="J6" s="2" t="s">
        <v>2</v>
      </c>
    </row>
    <row r="7" spans="2:10" x14ac:dyDescent="0.2">
      <c r="B7" s="2" t="s">
        <v>2</v>
      </c>
      <c r="C7" s="2">
        <v>44</v>
      </c>
      <c r="D7" s="2" t="s">
        <v>2</v>
      </c>
      <c r="E7" s="2">
        <v>45056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88</v>
      </c>
      <c r="D8" s="2" t="s">
        <v>2</v>
      </c>
      <c r="E8" s="2">
        <v>45056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176</v>
      </c>
      <c r="D9" s="2" t="s">
        <v>2</v>
      </c>
      <c r="E9" s="2">
        <v>45056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352</v>
      </c>
      <c r="D10" s="2" t="s">
        <v>2</v>
      </c>
      <c r="E10" s="2">
        <v>45056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704</v>
      </c>
      <c r="D11" s="2" t="s">
        <v>2</v>
      </c>
      <c r="E11" s="2">
        <v>45056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1408</v>
      </c>
      <c r="D12" s="2" t="s">
        <v>2</v>
      </c>
      <c r="E12" s="2">
        <v>45056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2816</v>
      </c>
      <c r="D13" s="2" t="s">
        <v>2</v>
      </c>
      <c r="E13" s="2">
        <v>45056</v>
      </c>
      <c r="F13" s="2" t="s">
        <v>2</v>
      </c>
      <c r="G13" s="2"/>
      <c r="H13" s="2" t="s">
        <v>2</v>
      </c>
      <c r="J13" s="2" t="s">
        <v>2</v>
      </c>
    </row>
    <row r="14" spans="2:10" x14ac:dyDescent="0.2">
      <c r="B14" s="2" t="s">
        <v>2</v>
      </c>
      <c r="C14" s="2">
        <v>5632</v>
      </c>
      <c r="D14" s="2" t="s">
        <v>2</v>
      </c>
      <c r="E14" s="2">
        <v>45056</v>
      </c>
      <c r="F14" s="2" t="s">
        <v>2</v>
      </c>
      <c r="G14" s="2"/>
      <c r="H14" s="2" t="s">
        <v>2</v>
      </c>
      <c r="J14" s="2" t="s">
        <v>2</v>
      </c>
    </row>
    <row r="15" spans="2:10" x14ac:dyDescent="0.2">
      <c r="B15" s="2" t="s">
        <v>2</v>
      </c>
      <c r="C15" s="2">
        <v>11264</v>
      </c>
      <c r="D15" s="2" t="s">
        <v>2</v>
      </c>
      <c r="E15" s="2">
        <v>45056</v>
      </c>
      <c r="F15" s="2" t="s">
        <v>2</v>
      </c>
      <c r="G15" s="2"/>
      <c r="H15" s="2" t="s">
        <v>2</v>
      </c>
      <c r="I15" s="5"/>
      <c r="J15" s="2" t="s">
        <v>2</v>
      </c>
    </row>
    <row r="16" spans="2:10" x14ac:dyDescent="0.2">
      <c r="B16" s="2" t="s">
        <v>2</v>
      </c>
      <c r="C16" s="2">
        <v>22528</v>
      </c>
      <c r="D16" s="2" t="s">
        <v>2</v>
      </c>
      <c r="E16" s="2">
        <v>45056</v>
      </c>
      <c r="F16" s="2" t="s">
        <v>2</v>
      </c>
      <c r="G16" s="2"/>
      <c r="H16" s="2" t="s">
        <v>2</v>
      </c>
      <c r="I16" s="5"/>
      <c r="J16" s="2" t="s">
        <v>2</v>
      </c>
    </row>
    <row r="17" spans="2:10" x14ac:dyDescent="0.2">
      <c r="B17" s="2" t="s">
        <v>2</v>
      </c>
      <c r="C17" s="2">
        <v>45056</v>
      </c>
      <c r="D17" s="2" t="s">
        <v>2</v>
      </c>
      <c r="E17" s="2">
        <v>45056</v>
      </c>
      <c r="F17" s="2" t="s">
        <v>2</v>
      </c>
      <c r="G17" s="2">
        <v>1</v>
      </c>
      <c r="H17" s="2" t="s">
        <v>2</v>
      </c>
      <c r="I17" s="5"/>
      <c r="J17" s="2" t="s">
        <v>2</v>
      </c>
    </row>
    <row r="18" spans="2:10" x14ac:dyDescent="0.2">
      <c r="B18" s="2" t="s">
        <v>2</v>
      </c>
      <c r="C18" s="2">
        <v>90112</v>
      </c>
      <c r="D18" s="2" t="s">
        <v>2</v>
      </c>
      <c r="E18" s="2">
        <v>45056</v>
      </c>
      <c r="F18" s="2" t="s">
        <v>2</v>
      </c>
      <c r="G18" s="2">
        <v>2</v>
      </c>
      <c r="H18" s="2" t="s">
        <v>2</v>
      </c>
      <c r="I18" s="5"/>
      <c r="J18" s="2" t="s">
        <v>2</v>
      </c>
    </row>
    <row r="19" spans="2:10" x14ac:dyDescent="0.2">
      <c r="B19" s="2" t="s">
        <v>2</v>
      </c>
      <c r="C19" s="2">
        <v>180224</v>
      </c>
      <c r="D19" s="2" t="s">
        <v>2</v>
      </c>
      <c r="E19" s="2">
        <v>45056</v>
      </c>
      <c r="F19" s="2" t="s">
        <v>2</v>
      </c>
      <c r="G19" s="2">
        <v>4</v>
      </c>
      <c r="H19" s="2" t="s">
        <v>2</v>
      </c>
      <c r="I19" s="5"/>
      <c r="J19" s="2" t="s">
        <v>2</v>
      </c>
    </row>
    <row r="20" spans="2:10" x14ac:dyDescent="0.2">
      <c r="B20" s="2" t="s">
        <v>2</v>
      </c>
      <c r="C20" s="2">
        <v>360448</v>
      </c>
      <c r="D20" s="2" t="s">
        <v>2</v>
      </c>
      <c r="E20" s="2">
        <v>45056</v>
      </c>
      <c r="F20" s="2" t="s">
        <v>2</v>
      </c>
      <c r="G20" s="2">
        <v>8</v>
      </c>
      <c r="H20" s="2" t="s">
        <v>2</v>
      </c>
      <c r="I20" s="5">
        <f t="shared" ref="I20" si="0">((16*1024*1024-4096*4)-FLOOR((16*1024*1024-4096*4)/(C20), 1)*C20)/(16*1024*1024)</f>
        <v>1.07421875E-2</v>
      </c>
      <c r="J20" s="2" t="s">
        <v>2</v>
      </c>
    </row>
    <row r="26" spans="2:10" x14ac:dyDescent="0.2">
      <c r="B26" s="2" t="s">
        <v>2</v>
      </c>
      <c r="C26" s="2"/>
      <c r="D26" s="2" t="s">
        <v>2</v>
      </c>
      <c r="E26" s="2"/>
      <c r="F26" s="2" t="s">
        <v>2</v>
      </c>
    </row>
    <row r="27" spans="2:10" x14ac:dyDescent="0.2">
      <c r="B27" s="2" t="s">
        <v>2</v>
      </c>
      <c r="C27" s="2" t="s">
        <v>10</v>
      </c>
      <c r="D27" s="2" t="s">
        <v>2</v>
      </c>
      <c r="E27" s="2" t="s">
        <v>5</v>
      </c>
      <c r="F27" s="2" t="s">
        <v>2</v>
      </c>
    </row>
    <row r="28" spans="2:10" x14ac:dyDescent="0.2">
      <c r="B28" s="2" t="s">
        <v>2</v>
      </c>
      <c r="C28" s="2" t="s">
        <v>16</v>
      </c>
      <c r="D28" s="2" t="s">
        <v>2</v>
      </c>
      <c r="E28" s="2">
        <v>11</v>
      </c>
      <c r="F28" s="2" t="s">
        <v>2</v>
      </c>
    </row>
    <row r="29" spans="2:10" x14ac:dyDescent="0.2">
      <c r="B29" s="2" t="s">
        <v>2</v>
      </c>
      <c r="C29" s="2" t="s">
        <v>6</v>
      </c>
      <c r="D29" s="2" t="s">
        <v>2</v>
      </c>
      <c r="E29">
        <f>4096*E28</f>
        <v>45056</v>
      </c>
      <c r="F29" s="2" t="s">
        <v>2</v>
      </c>
    </row>
    <row r="30" spans="2:10" x14ac:dyDescent="0.2">
      <c r="B30" s="2" t="s">
        <v>2</v>
      </c>
      <c r="C30" s="2" t="s">
        <v>12</v>
      </c>
      <c r="D30" s="2" t="s">
        <v>2</v>
      </c>
      <c r="E30" s="3">
        <v>372</v>
      </c>
      <c r="F30" s="2" t="s">
        <v>2</v>
      </c>
    </row>
    <row r="31" spans="2:10" x14ac:dyDescent="0.2">
      <c r="B31" s="2" t="s">
        <v>2</v>
      </c>
      <c r="C31" s="2" t="s">
        <v>13</v>
      </c>
      <c r="D31" s="2" t="s">
        <v>2</v>
      </c>
      <c r="E31" s="2">
        <v>4096</v>
      </c>
      <c r="F31" s="2" t="s">
        <v>2</v>
      </c>
    </row>
    <row r="32" spans="2:10" x14ac:dyDescent="0.2">
      <c r="B32" s="2" t="s">
        <v>2</v>
      </c>
      <c r="C32" s="2" t="s">
        <v>14</v>
      </c>
      <c r="D32" s="2" t="s">
        <v>2</v>
      </c>
      <c r="E32" s="2">
        <f>4096*3</f>
        <v>12288</v>
      </c>
      <c r="F32" s="2" t="s">
        <v>2</v>
      </c>
    </row>
    <row r="33" spans="2:6" x14ac:dyDescent="0.2">
      <c r="B33" s="2" t="s">
        <v>2</v>
      </c>
      <c r="C33" s="2" t="s">
        <v>15</v>
      </c>
      <c r="D33" s="2" t="s">
        <v>2</v>
      </c>
      <c r="E33" s="4">
        <f>SUM(E31:E32)/(4*1024*1024)</f>
        <v>3.90625E-3</v>
      </c>
      <c r="F33" s="2" t="s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J32"/>
  <sheetViews>
    <sheetView workbookViewId="0">
      <selection activeCell="B5" sqref="B5:J21"/>
    </sheetView>
  </sheetViews>
  <sheetFormatPr baseColWidth="10" defaultRowHeight="16" x14ac:dyDescent="0.2"/>
  <sheetData>
    <row r="5" spans="2:10" x14ac:dyDescent="0.2">
      <c r="B5" s="2" t="s">
        <v>2</v>
      </c>
      <c r="C5" s="2" t="s">
        <v>0</v>
      </c>
      <c r="D5" s="2" t="s">
        <v>2</v>
      </c>
      <c r="E5" s="2" t="s">
        <v>7</v>
      </c>
      <c r="F5" s="2" t="s">
        <v>2</v>
      </c>
      <c r="G5" s="2" t="s">
        <v>8</v>
      </c>
      <c r="H5" s="2" t="s">
        <v>2</v>
      </c>
      <c r="I5" s="2" t="s">
        <v>18</v>
      </c>
      <c r="J5" s="2" t="s">
        <v>2</v>
      </c>
    </row>
    <row r="6" spans="2:10" x14ac:dyDescent="0.2">
      <c r="B6" s="2" t="s">
        <v>2</v>
      </c>
      <c r="C6" s="2" t="s">
        <v>5</v>
      </c>
      <c r="D6" s="2" t="s">
        <v>2</v>
      </c>
      <c r="E6" s="2" t="s">
        <v>5</v>
      </c>
      <c r="F6" s="2" t="s">
        <v>2</v>
      </c>
      <c r="G6" s="2" t="s">
        <v>5</v>
      </c>
      <c r="H6" s="2" t="s">
        <v>2</v>
      </c>
      <c r="I6" s="2" t="s">
        <v>5</v>
      </c>
      <c r="J6" s="2" t="s">
        <v>2</v>
      </c>
    </row>
    <row r="7" spans="2:10" x14ac:dyDescent="0.2">
      <c r="B7" s="2" t="s">
        <v>2</v>
      </c>
      <c r="C7" s="2">
        <v>24</v>
      </c>
      <c r="D7" s="2" t="s">
        <v>2</v>
      </c>
      <c r="E7" s="2">
        <v>12288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48</v>
      </c>
      <c r="D8" s="2" t="s">
        <v>2</v>
      </c>
      <c r="E8" s="2">
        <v>12288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96</v>
      </c>
      <c r="D9" s="2" t="s">
        <v>2</v>
      </c>
      <c r="E9" s="2">
        <v>12288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192</v>
      </c>
      <c r="D10" s="2" t="s">
        <v>2</v>
      </c>
      <c r="E10" s="2">
        <v>12288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384</v>
      </c>
      <c r="D11" s="2" t="s">
        <v>2</v>
      </c>
      <c r="E11" s="2">
        <v>12288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768</v>
      </c>
      <c r="D12" s="2" t="s">
        <v>2</v>
      </c>
      <c r="E12" s="2">
        <v>12288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1536</v>
      </c>
      <c r="D13" s="2" t="s">
        <v>2</v>
      </c>
      <c r="E13" s="2">
        <v>12288</v>
      </c>
      <c r="F13" s="2" t="s">
        <v>2</v>
      </c>
      <c r="G13" s="2"/>
      <c r="H13" s="2" t="s">
        <v>2</v>
      </c>
      <c r="J13" s="2" t="s">
        <v>2</v>
      </c>
    </row>
    <row r="14" spans="2:10" x14ac:dyDescent="0.2">
      <c r="B14" s="2" t="s">
        <v>2</v>
      </c>
      <c r="C14" s="2">
        <v>3072</v>
      </c>
      <c r="D14" s="2" t="s">
        <v>2</v>
      </c>
      <c r="E14" s="2">
        <v>12288</v>
      </c>
      <c r="F14" s="2" t="s">
        <v>2</v>
      </c>
      <c r="G14" s="2"/>
      <c r="H14" s="2" t="s">
        <v>2</v>
      </c>
      <c r="J14" s="2" t="s">
        <v>2</v>
      </c>
    </row>
    <row r="15" spans="2:10" x14ac:dyDescent="0.2">
      <c r="B15" s="2" t="s">
        <v>2</v>
      </c>
      <c r="C15" s="2">
        <v>6144</v>
      </c>
      <c r="D15" s="2" t="s">
        <v>2</v>
      </c>
      <c r="E15" s="2">
        <v>12288</v>
      </c>
      <c r="F15" s="2" t="s">
        <v>2</v>
      </c>
      <c r="G15" s="2"/>
      <c r="H15" s="2" t="s">
        <v>2</v>
      </c>
      <c r="I15" s="5"/>
      <c r="J15" s="2" t="s">
        <v>2</v>
      </c>
    </row>
    <row r="16" spans="2:10" x14ac:dyDescent="0.2">
      <c r="B16" s="2" t="s">
        <v>2</v>
      </c>
      <c r="C16" s="2">
        <v>12288</v>
      </c>
      <c r="D16" s="2" t="s">
        <v>2</v>
      </c>
      <c r="E16" s="2">
        <v>12288</v>
      </c>
      <c r="F16" s="2" t="s">
        <v>2</v>
      </c>
      <c r="G16" s="2">
        <v>1</v>
      </c>
      <c r="H16" s="2" t="s">
        <v>2</v>
      </c>
      <c r="I16" s="5"/>
      <c r="J16" s="2" t="s">
        <v>2</v>
      </c>
    </row>
    <row r="17" spans="1:10" x14ac:dyDescent="0.2">
      <c r="B17" s="2" t="s">
        <v>2</v>
      </c>
      <c r="C17" s="2">
        <v>24576</v>
      </c>
      <c r="D17" s="2" t="s">
        <v>2</v>
      </c>
      <c r="E17" s="2">
        <v>12288</v>
      </c>
      <c r="F17" s="2" t="s">
        <v>2</v>
      </c>
      <c r="G17" s="2">
        <v>2</v>
      </c>
      <c r="H17" s="2" t="s">
        <v>2</v>
      </c>
      <c r="I17" s="5">
        <f t="shared" ref="I17:I19" si="0">(16*1024*1024-FLOOR((16*1024*1024-4096)/(C17), 1)*C17-4096)/(16*1024*1024)</f>
        <v>7.32421875E-4</v>
      </c>
      <c r="J17" s="2" t="s">
        <v>2</v>
      </c>
    </row>
    <row r="18" spans="1:10" x14ac:dyDescent="0.2">
      <c r="B18" s="2" t="s">
        <v>2</v>
      </c>
      <c r="C18" s="2">
        <v>49152</v>
      </c>
      <c r="D18" s="2" t="s">
        <v>2</v>
      </c>
      <c r="E18" s="2">
        <v>12288</v>
      </c>
      <c r="F18" s="2" t="s">
        <v>2</v>
      </c>
      <c r="G18" s="2">
        <v>4</v>
      </c>
      <c r="H18" s="2" t="s">
        <v>2</v>
      </c>
      <c r="I18" s="5">
        <f t="shared" si="0"/>
        <v>7.32421875E-4</v>
      </c>
      <c r="J18" s="2" t="s">
        <v>2</v>
      </c>
    </row>
    <row r="19" spans="1:10" x14ac:dyDescent="0.2">
      <c r="B19" s="2" t="s">
        <v>2</v>
      </c>
      <c r="C19" s="2">
        <v>98304</v>
      </c>
      <c r="D19" s="2" t="s">
        <v>2</v>
      </c>
      <c r="E19" s="2">
        <v>12288</v>
      </c>
      <c r="F19" s="2" t="s">
        <v>2</v>
      </c>
      <c r="G19" s="2">
        <v>8</v>
      </c>
      <c r="H19" s="2" t="s">
        <v>2</v>
      </c>
      <c r="I19" s="5">
        <f t="shared" si="0"/>
        <v>3.662109375E-3</v>
      </c>
      <c r="J19" s="2" t="s">
        <v>2</v>
      </c>
    </row>
    <row r="20" spans="1:10" x14ac:dyDescent="0.2">
      <c r="B20" s="2" t="s">
        <v>2</v>
      </c>
      <c r="C20" s="2">
        <v>196608</v>
      </c>
      <c r="D20" s="2" t="s">
        <v>2</v>
      </c>
      <c r="E20" s="2">
        <v>12288</v>
      </c>
      <c r="F20" s="2" t="s">
        <v>2</v>
      </c>
      <c r="G20" s="2">
        <v>16</v>
      </c>
      <c r="H20" s="2" t="s">
        <v>2</v>
      </c>
      <c r="I20" s="5">
        <f>(16*1024*1024-FLOOR((16*1024*1024-4096)/(C20), 1)*C20-4096)/(16*1024*1024)</f>
        <v>3.662109375E-3</v>
      </c>
      <c r="J20" s="2" t="s">
        <v>2</v>
      </c>
    </row>
    <row r="21" spans="1:10" x14ac:dyDescent="0.2">
      <c r="B21" s="2" t="s">
        <v>2</v>
      </c>
      <c r="C21" s="2">
        <v>393216</v>
      </c>
      <c r="D21" s="2" t="s">
        <v>2</v>
      </c>
      <c r="E21" s="2">
        <v>12288</v>
      </c>
      <c r="F21" s="2" t="s">
        <v>2</v>
      </c>
      <c r="G21" s="2">
        <v>32</v>
      </c>
      <c r="H21" s="2" t="s">
        <v>2</v>
      </c>
      <c r="I21" s="5">
        <f>(16*1024*1024-FLOOR((16*1024*1024-4096)/(C21), 1)*C21-4096)/(16*1024*1024)</f>
        <v>1.5380859375E-2</v>
      </c>
      <c r="J21" s="2" t="s">
        <v>2</v>
      </c>
    </row>
    <row r="25" spans="1:10" x14ac:dyDescent="0.2">
      <c r="B25" s="2" t="s">
        <v>2</v>
      </c>
      <c r="C25" s="2"/>
      <c r="D25" s="2" t="s">
        <v>2</v>
      </c>
      <c r="E25" s="2"/>
      <c r="F25" s="2" t="s">
        <v>2</v>
      </c>
    </row>
    <row r="26" spans="1:10" x14ac:dyDescent="0.2">
      <c r="B26" s="2" t="s">
        <v>2</v>
      </c>
      <c r="C26" s="2" t="s">
        <v>10</v>
      </c>
      <c r="D26" s="2" t="s">
        <v>2</v>
      </c>
      <c r="E26" s="2" t="s">
        <v>5</v>
      </c>
      <c r="F26" s="2" t="s">
        <v>2</v>
      </c>
    </row>
    <row r="27" spans="1:10" x14ac:dyDescent="0.2">
      <c r="A27" s="2"/>
      <c r="B27" s="2" t="s">
        <v>2</v>
      </c>
      <c r="C27" s="2" t="s">
        <v>16</v>
      </c>
      <c r="D27" s="2" t="s">
        <v>2</v>
      </c>
      <c r="E27" s="2">
        <v>3</v>
      </c>
      <c r="F27" s="2" t="s">
        <v>2</v>
      </c>
      <c r="G27" s="2"/>
      <c r="H27" s="2"/>
    </row>
    <row r="28" spans="1:10" x14ac:dyDescent="0.2">
      <c r="A28" s="2"/>
      <c r="B28" s="2" t="s">
        <v>2</v>
      </c>
      <c r="C28" s="2" t="s">
        <v>6</v>
      </c>
      <c r="D28" s="2" t="s">
        <v>2</v>
      </c>
      <c r="E28" s="2">
        <f>4096*E27</f>
        <v>12288</v>
      </c>
      <c r="F28" s="2" t="s">
        <v>2</v>
      </c>
      <c r="G28" s="2"/>
      <c r="H28" s="2"/>
    </row>
    <row r="29" spans="1:10" x14ac:dyDescent="0.2">
      <c r="B29" s="2" t="s">
        <v>2</v>
      </c>
      <c r="C29" s="2" t="s">
        <v>12</v>
      </c>
      <c r="D29" s="2" t="s">
        <v>2</v>
      </c>
      <c r="E29" s="3">
        <v>1365</v>
      </c>
      <c r="F29" s="2" t="s">
        <v>2</v>
      </c>
    </row>
    <row r="30" spans="1:10" x14ac:dyDescent="0.2">
      <c r="B30" s="2" t="s">
        <v>2</v>
      </c>
      <c r="C30" s="2" t="s">
        <v>13</v>
      </c>
      <c r="D30" s="2" t="s">
        <v>2</v>
      </c>
      <c r="E30" s="2">
        <v>4096</v>
      </c>
      <c r="F30" s="2" t="s">
        <v>2</v>
      </c>
    </row>
    <row r="31" spans="1:10" x14ac:dyDescent="0.2">
      <c r="B31" s="2" t="s">
        <v>2</v>
      </c>
      <c r="C31" s="2" t="s">
        <v>14</v>
      </c>
      <c r="D31" s="2" t="s">
        <v>2</v>
      </c>
      <c r="E31" s="2">
        <v>0</v>
      </c>
      <c r="F31" s="2" t="s">
        <v>2</v>
      </c>
    </row>
    <row r="32" spans="1:10" x14ac:dyDescent="0.2">
      <c r="B32" s="2" t="s">
        <v>2</v>
      </c>
      <c r="C32" s="2" t="s">
        <v>15</v>
      </c>
      <c r="D32" s="2" t="s">
        <v>2</v>
      </c>
      <c r="E32" s="4">
        <f>SUM(E30:E31)/(4*1024*1024)</f>
        <v>9.765625E-4</v>
      </c>
      <c r="F32" s="2" t="s">
        <v>2</v>
      </c>
    </row>
  </sheetData>
  <pageMargins left="0.75" right="0.75" top="1" bottom="1" header="0.5" footer="0.5"/>
  <pageSetup paperSize="9" orientation="portrait" horizontalDpi="4294967292" verticalDpi="4294967292"/>
  <ignoredErrors>
    <ignoredError sqref="E32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5:J32"/>
  <sheetViews>
    <sheetView workbookViewId="0">
      <selection activeCell="B5" sqref="B5:J20"/>
    </sheetView>
  </sheetViews>
  <sheetFormatPr baseColWidth="10" defaultRowHeight="16" x14ac:dyDescent="0.2"/>
  <cols>
    <col min="3" max="3" width="20.1640625" customWidth="1"/>
  </cols>
  <sheetData>
    <row r="5" spans="2:10" x14ac:dyDescent="0.2">
      <c r="B5" s="2" t="s">
        <v>2</v>
      </c>
      <c r="C5" s="2" t="s">
        <v>0</v>
      </c>
      <c r="D5" s="2" t="s">
        <v>2</v>
      </c>
      <c r="E5" s="2" t="s">
        <v>7</v>
      </c>
      <c r="F5" s="2" t="s">
        <v>2</v>
      </c>
      <c r="G5" s="2" t="s">
        <v>8</v>
      </c>
      <c r="H5" s="2" t="s">
        <v>2</v>
      </c>
      <c r="I5" s="2" t="s">
        <v>18</v>
      </c>
      <c r="J5" s="2" t="s">
        <v>2</v>
      </c>
    </row>
    <row r="6" spans="2:10" x14ac:dyDescent="0.2">
      <c r="B6" s="2" t="s">
        <v>2</v>
      </c>
      <c r="C6" s="2" t="s">
        <v>5</v>
      </c>
      <c r="D6" s="2" t="s">
        <v>2</v>
      </c>
      <c r="E6" s="2" t="s">
        <v>5</v>
      </c>
      <c r="F6" s="2" t="s">
        <v>2</v>
      </c>
      <c r="G6" s="2" t="s">
        <v>5</v>
      </c>
      <c r="H6" s="2" t="s">
        <v>2</v>
      </c>
      <c r="I6" s="2" t="s">
        <v>5</v>
      </c>
      <c r="J6" s="2" t="s">
        <v>2</v>
      </c>
    </row>
    <row r="7" spans="2:10" x14ac:dyDescent="0.2">
      <c r="B7" s="2" t="s">
        <v>2</v>
      </c>
      <c r="C7" s="2">
        <v>52</v>
      </c>
      <c r="D7" s="2" t="s">
        <v>2</v>
      </c>
      <c r="E7" s="2">
        <v>53248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104</v>
      </c>
      <c r="D8" s="2" t="s">
        <v>2</v>
      </c>
      <c r="E8" s="2">
        <v>53248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208</v>
      </c>
      <c r="D9" s="2" t="s">
        <v>2</v>
      </c>
      <c r="E9" s="2">
        <v>53248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416</v>
      </c>
      <c r="D10" s="2" t="s">
        <v>2</v>
      </c>
      <c r="E10" s="2">
        <v>53248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832</v>
      </c>
      <c r="D11" s="2" t="s">
        <v>2</v>
      </c>
      <c r="E11" s="2">
        <v>53248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1664</v>
      </c>
      <c r="D12" s="2" t="s">
        <v>2</v>
      </c>
      <c r="E12" s="2">
        <v>53248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3328</v>
      </c>
      <c r="D13" s="2" t="s">
        <v>2</v>
      </c>
      <c r="E13" s="2">
        <v>53248</v>
      </c>
      <c r="F13" s="2" t="s">
        <v>2</v>
      </c>
      <c r="G13" s="2"/>
      <c r="H13" s="2" t="s">
        <v>2</v>
      </c>
      <c r="J13" s="2" t="s">
        <v>2</v>
      </c>
    </row>
    <row r="14" spans="2:10" x14ac:dyDescent="0.2">
      <c r="B14" s="2" t="s">
        <v>2</v>
      </c>
      <c r="C14" s="2">
        <v>6656</v>
      </c>
      <c r="D14" s="2" t="s">
        <v>2</v>
      </c>
      <c r="E14" s="2">
        <v>53248</v>
      </c>
      <c r="F14" s="2" t="s">
        <v>2</v>
      </c>
      <c r="G14" s="2"/>
      <c r="H14" s="2" t="s">
        <v>2</v>
      </c>
      <c r="J14" s="2" t="s">
        <v>2</v>
      </c>
    </row>
    <row r="15" spans="2:10" x14ac:dyDescent="0.2">
      <c r="B15" s="2" t="s">
        <v>2</v>
      </c>
      <c r="C15" s="2">
        <v>13312</v>
      </c>
      <c r="D15" s="2" t="s">
        <v>2</v>
      </c>
      <c r="E15" s="2">
        <v>53248</v>
      </c>
      <c r="F15" s="2" t="s">
        <v>2</v>
      </c>
      <c r="G15" s="2"/>
      <c r="H15" s="2" t="s">
        <v>2</v>
      </c>
      <c r="I15" s="5"/>
      <c r="J15" s="2" t="s">
        <v>2</v>
      </c>
    </row>
    <row r="16" spans="2:10" x14ac:dyDescent="0.2">
      <c r="B16" s="2" t="s">
        <v>2</v>
      </c>
      <c r="C16" s="2">
        <v>26624</v>
      </c>
      <c r="D16" s="2" t="s">
        <v>2</v>
      </c>
      <c r="E16" s="2">
        <v>53248</v>
      </c>
      <c r="F16" s="2" t="s">
        <v>2</v>
      </c>
      <c r="G16" s="2"/>
      <c r="H16" s="2" t="s">
        <v>2</v>
      </c>
      <c r="I16" s="5"/>
      <c r="J16" s="2" t="s">
        <v>2</v>
      </c>
    </row>
    <row r="17" spans="2:10" x14ac:dyDescent="0.2">
      <c r="B17" s="2" t="s">
        <v>2</v>
      </c>
      <c r="C17" s="2">
        <v>53248</v>
      </c>
      <c r="D17" s="2" t="s">
        <v>2</v>
      </c>
      <c r="E17" s="2">
        <v>53248</v>
      </c>
      <c r="F17" s="2" t="s">
        <v>2</v>
      </c>
      <c r="G17" s="2">
        <v>1</v>
      </c>
      <c r="H17" s="2" t="s">
        <v>2</v>
      </c>
      <c r="I17" s="5"/>
      <c r="J17" s="2" t="s">
        <v>2</v>
      </c>
    </row>
    <row r="18" spans="2:10" x14ac:dyDescent="0.2">
      <c r="B18" s="2" t="s">
        <v>2</v>
      </c>
      <c r="C18" s="2">
        <v>106496</v>
      </c>
      <c r="D18" s="2" t="s">
        <v>2</v>
      </c>
      <c r="E18" s="2">
        <v>53248</v>
      </c>
      <c r="F18" s="2" t="s">
        <v>2</v>
      </c>
      <c r="G18" s="2">
        <v>2</v>
      </c>
      <c r="H18" s="2" t="s">
        <v>2</v>
      </c>
      <c r="I18" s="5">
        <f t="shared" ref="I18:I19" si="0">(16*1024*1024-FLOOR((16*1024*1024-4096)/(C18), 1)*C18-4096)/(16*1024*1024)</f>
        <v>3.173828125E-3</v>
      </c>
      <c r="J18" s="2" t="s">
        <v>2</v>
      </c>
    </row>
    <row r="19" spans="2:10" x14ac:dyDescent="0.2">
      <c r="B19" s="2" t="s">
        <v>2</v>
      </c>
      <c r="C19" s="2">
        <v>212992</v>
      </c>
      <c r="D19" s="2" t="s">
        <v>2</v>
      </c>
      <c r="E19" s="2">
        <v>53248</v>
      </c>
      <c r="F19" s="2" t="s">
        <v>2</v>
      </c>
      <c r="G19" s="2">
        <v>4</v>
      </c>
      <c r="H19" s="2" t="s">
        <v>2</v>
      </c>
      <c r="I19" s="5">
        <f t="shared" si="0"/>
        <v>9.521484375E-3</v>
      </c>
      <c r="J19" s="2" t="s">
        <v>2</v>
      </c>
    </row>
    <row r="20" spans="2:10" x14ac:dyDescent="0.2">
      <c r="B20" s="2" t="s">
        <v>2</v>
      </c>
      <c r="C20" s="2">
        <v>425984</v>
      </c>
      <c r="D20" s="2" t="s">
        <v>2</v>
      </c>
      <c r="E20" s="2">
        <v>53248</v>
      </c>
      <c r="F20" s="2" t="s">
        <v>2</v>
      </c>
      <c r="G20" s="2">
        <v>8</v>
      </c>
      <c r="H20" s="2" t="s">
        <v>2</v>
      </c>
      <c r="I20" s="5">
        <f>(16*1024*1024-FLOOR((16*1024*1024-4096)/(C20), 1)*C20-4096)/(16*1024*1024)</f>
        <v>9.521484375E-3</v>
      </c>
      <c r="J20" s="2" t="s">
        <v>2</v>
      </c>
    </row>
    <row r="25" spans="2:10" x14ac:dyDescent="0.2">
      <c r="B25" s="2" t="s">
        <v>2</v>
      </c>
      <c r="C25" s="2"/>
      <c r="D25" s="2" t="s">
        <v>2</v>
      </c>
      <c r="E25" s="2"/>
      <c r="F25" s="2" t="s">
        <v>2</v>
      </c>
    </row>
    <row r="26" spans="2:10" x14ac:dyDescent="0.2">
      <c r="B26" s="2" t="s">
        <v>2</v>
      </c>
      <c r="C26" s="2" t="s">
        <v>10</v>
      </c>
      <c r="D26" s="2" t="s">
        <v>2</v>
      </c>
      <c r="E26" s="2" t="s">
        <v>5</v>
      </c>
      <c r="F26" s="2" t="s">
        <v>2</v>
      </c>
    </row>
    <row r="27" spans="2:10" x14ac:dyDescent="0.2">
      <c r="B27" s="2" t="s">
        <v>2</v>
      </c>
      <c r="C27" s="2" t="s">
        <v>16</v>
      </c>
      <c r="D27" s="2" t="s">
        <v>2</v>
      </c>
      <c r="E27" s="2">
        <v>13</v>
      </c>
      <c r="F27" s="2" t="s">
        <v>2</v>
      </c>
    </row>
    <row r="28" spans="2:10" x14ac:dyDescent="0.2">
      <c r="B28" s="2" t="s">
        <v>2</v>
      </c>
      <c r="C28" s="2" t="s">
        <v>6</v>
      </c>
      <c r="D28" s="2" t="s">
        <v>2</v>
      </c>
      <c r="E28" s="2">
        <f>4096*E27</f>
        <v>53248</v>
      </c>
      <c r="F28" s="2" t="s">
        <v>2</v>
      </c>
    </row>
    <row r="29" spans="2:10" x14ac:dyDescent="0.2">
      <c r="B29" s="2" t="s">
        <v>2</v>
      </c>
      <c r="C29" s="2" t="s">
        <v>12</v>
      </c>
      <c r="D29" s="2" t="s">
        <v>2</v>
      </c>
      <c r="E29" s="3">
        <v>315</v>
      </c>
      <c r="F29" s="2" t="s">
        <v>2</v>
      </c>
    </row>
    <row r="30" spans="2:10" x14ac:dyDescent="0.2">
      <c r="B30" s="2" t="s">
        <v>2</v>
      </c>
      <c r="C30" s="2" t="s">
        <v>13</v>
      </c>
      <c r="D30" s="2" t="s">
        <v>2</v>
      </c>
      <c r="E30" s="2">
        <v>4096</v>
      </c>
      <c r="F30" s="2" t="s">
        <v>2</v>
      </c>
    </row>
    <row r="31" spans="2:10" x14ac:dyDescent="0.2">
      <c r="B31" s="2" t="s">
        <v>2</v>
      </c>
      <c r="C31" s="2" t="s">
        <v>14</v>
      </c>
      <c r="D31" s="2" t="s">
        <v>2</v>
      </c>
      <c r="E31" s="2">
        <v>0</v>
      </c>
      <c r="F31" s="2" t="s">
        <v>2</v>
      </c>
    </row>
    <row r="32" spans="2:10" x14ac:dyDescent="0.2">
      <c r="B32" s="2" t="s">
        <v>2</v>
      </c>
      <c r="C32" s="2" t="s">
        <v>15</v>
      </c>
      <c r="D32" s="2" t="s">
        <v>2</v>
      </c>
      <c r="E32" s="4">
        <f>SUM(E30:E31)/(4*1024*1024)</f>
        <v>9.765625E-4</v>
      </c>
      <c r="F32" s="2" t="s">
        <v>2</v>
      </c>
    </row>
  </sheetData>
  <pageMargins left="0.75" right="0.75" top="1" bottom="1" header="0.5" footer="0.5"/>
  <pageSetup paperSize="9" orientation="portrait" horizontalDpi="4294967292" verticalDpi="4294967292"/>
  <ignoredErrors>
    <ignoredError sqref="E32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J33"/>
  <sheetViews>
    <sheetView workbookViewId="0">
      <selection activeCell="H33" sqref="H33"/>
    </sheetView>
  </sheetViews>
  <sheetFormatPr baseColWidth="10" defaultRowHeight="16" x14ac:dyDescent="0.2"/>
  <sheetData>
    <row r="5" spans="2:10" x14ac:dyDescent="0.2">
      <c r="B5" s="2" t="s">
        <v>2</v>
      </c>
      <c r="C5" s="2" t="s">
        <v>0</v>
      </c>
      <c r="D5" s="2" t="s">
        <v>2</v>
      </c>
      <c r="E5" s="2" t="s">
        <v>7</v>
      </c>
      <c r="F5" s="2" t="s">
        <v>2</v>
      </c>
      <c r="G5" s="2" t="s">
        <v>8</v>
      </c>
      <c r="H5" s="2" t="s">
        <v>2</v>
      </c>
      <c r="I5" s="2" t="s">
        <v>18</v>
      </c>
      <c r="J5" s="2" t="s">
        <v>2</v>
      </c>
    </row>
    <row r="6" spans="2:10" x14ac:dyDescent="0.2">
      <c r="B6" s="2" t="s">
        <v>2</v>
      </c>
      <c r="C6" s="2" t="s">
        <v>5</v>
      </c>
      <c r="D6" s="2" t="s">
        <v>2</v>
      </c>
      <c r="E6" s="2" t="s">
        <v>5</v>
      </c>
      <c r="F6" s="2" t="s">
        <v>2</v>
      </c>
      <c r="G6" s="2" t="s">
        <v>5</v>
      </c>
      <c r="H6" s="2" t="s">
        <v>2</v>
      </c>
      <c r="I6" s="2" t="s">
        <v>5</v>
      </c>
      <c r="J6" s="2" t="s">
        <v>2</v>
      </c>
    </row>
    <row r="7" spans="2:10" x14ac:dyDescent="0.2">
      <c r="B7" s="2" t="s">
        <v>2</v>
      </c>
      <c r="C7" s="2">
        <v>28</v>
      </c>
      <c r="D7" s="2" t="s">
        <v>2</v>
      </c>
      <c r="E7" s="2">
        <v>28672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56</v>
      </c>
      <c r="D8" s="2" t="s">
        <v>2</v>
      </c>
      <c r="E8" s="2">
        <v>28672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112</v>
      </c>
      <c r="D9" s="2" t="s">
        <v>2</v>
      </c>
      <c r="E9" s="2">
        <v>28672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224</v>
      </c>
      <c r="D10" s="2" t="s">
        <v>2</v>
      </c>
      <c r="E10" s="2">
        <v>28672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448</v>
      </c>
      <c r="D11" s="2" t="s">
        <v>2</v>
      </c>
      <c r="E11" s="2">
        <v>28672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896</v>
      </c>
      <c r="D12" s="2" t="s">
        <v>2</v>
      </c>
      <c r="E12" s="2">
        <v>28672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1792</v>
      </c>
      <c r="D13" s="2" t="s">
        <v>2</v>
      </c>
      <c r="E13" s="2">
        <v>28672</v>
      </c>
      <c r="F13" s="2" t="s">
        <v>2</v>
      </c>
      <c r="G13" s="2"/>
      <c r="H13" s="2" t="s">
        <v>2</v>
      </c>
      <c r="J13" s="2" t="s">
        <v>2</v>
      </c>
    </row>
    <row r="14" spans="2:10" x14ac:dyDescent="0.2">
      <c r="B14" s="2" t="s">
        <v>2</v>
      </c>
      <c r="C14" s="2">
        <v>3584</v>
      </c>
      <c r="D14" s="2" t="s">
        <v>2</v>
      </c>
      <c r="E14" s="2">
        <v>28672</v>
      </c>
      <c r="F14" s="2" t="s">
        <v>2</v>
      </c>
      <c r="G14" s="2"/>
      <c r="H14" s="2" t="s">
        <v>2</v>
      </c>
      <c r="J14" s="2" t="s">
        <v>2</v>
      </c>
    </row>
    <row r="15" spans="2:10" x14ac:dyDescent="0.2">
      <c r="B15" s="2" t="s">
        <v>2</v>
      </c>
      <c r="C15" s="2">
        <v>7168</v>
      </c>
      <c r="D15" s="2" t="s">
        <v>2</v>
      </c>
      <c r="E15" s="2">
        <v>28672</v>
      </c>
      <c r="F15" s="2" t="s">
        <v>2</v>
      </c>
      <c r="G15" s="2"/>
      <c r="H15" s="2" t="s">
        <v>2</v>
      </c>
      <c r="I15" s="5"/>
      <c r="J15" s="2" t="s">
        <v>2</v>
      </c>
    </row>
    <row r="16" spans="2:10" x14ac:dyDescent="0.2">
      <c r="B16" s="2" t="s">
        <v>2</v>
      </c>
      <c r="C16" s="2">
        <v>14336</v>
      </c>
      <c r="D16" s="2" t="s">
        <v>2</v>
      </c>
      <c r="E16" s="2">
        <v>28672</v>
      </c>
      <c r="F16" s="2" t="s">
        <v>2</v>
      </c>
      <c r="G16" s="2"/>
      <c r="H16" s="2" t="s">
        <v>2</v>
      </c>
      <c r="I16" s="5"/>
      <c r="J16" s="2" t="s">
        <v>2</v>
      </c>
    </row>
    <row r="17" spans="2:10" x14ac:dyDescent="0.2">
      <c r="B17" s="2" t="s">
        <v>2</v>
      </c>
      <c r="C17" s="2">
        <v>28672</v>
      </c>
      <c r="D17" s="2" t="s">
        <v>2</v>
      </c>
      <c r="E17" s="2">
        <v>28672</v>
      </c>
      <c r="F17" s="2" t="s">
        <v>2</v>
      </c>
      <c r="G17" s="2">
        <v>1</v>
      </c>
      <c r="H17" s="2" t="s">
        <v>2</v>
      </c>
      <c r="I17" s="5"/>
      <c r="J17" s="2" t="s">
        <v>2</v>
      </c>
    </row>
    <row r="18" spans="2:10" x14ac:dyDescent="0.2">
      <c r="B18" s="2" t="s">
        <v>2</v>
      </c>
      <c r="C18" s="2">
        <v>57344</v>
      </c>
      <c r="D18" s="2" t="s">
        <v>2</v>
      </c>
      <c r="E18" s="2">
        <v>28672</v>
      </c>
      <c r="F18" s="2" t="s">
        <v>2</v>
      </c>
      <c r="G18" s="2">
        <v>2</v>
      </c>
      <c r="H18" s="2" t="s">
        <v>2</v>
      </c>
      <c r="I18" s="5">
        <f t="shared" ref="I18:I19" si="0">(16*1024*1024-FLOOR((16*1024*1024-4096)/(C18), 1)*C18-4096)/(16*1024*1024)</f>
        <v>1.708984375E-3</v>
      </c>
      <c r="J18" s="2" t="s">
        <v>2</v>
      </c>
    </row>
    <row r="19" spans="2:10" x14ac:dyDescent="0.2">
      <c r="B19" s="2" t="s">
        <v>2</v>
      </c>
      <c r="C19" s="2">
        <v>114688</v>
      </c>
      <c r="D19" s="2" t="s">
        <v>2</v>
      </c>
      <c r="E19" s="2">
        <v>28672</v>
      </c>
      <c r="F19" s="2" t="s">
        <v>2</v>
      </c>
      <c r="G19" s="2">
        <v>4</v>
      </c>
      <c r="H19" s="2" t="s">
        <v>2</v>
      </c>
      <c r="I19" s="5">
        <f t="shared" si="0"/>
        <v>1.708984375E-3</v>
      </c>
      <c r="J19" s="2" t="s">
        <v>2</v>
      </c>
    </row>
    <row r="20" spans="2:10" x14ac:dyDescent="0.2">
      <c r="B20" s="2" t="s">
        <v>2</v>
      </c>
      <c r="C20" s="2">
        <v>229376</v>
      </c>
      <c r="D20" s="2" t="s">
        <v>2</v>
      </c>
      <c r="E20" s="2">
        <v>28672</v>
      </c>
      <c r="F20" s="2" t="s">
        <v>2</v>
      </c>
      <c r="G20" s="2">
        <v>8</v>
      </c>
      <c r="H20" s="2" t="s">
        <v>2</v>
      </c>
      <c r="I20" s="5">
        <f>(16*1024*1024-FLOOR((16*1024*1024-4096)/(C20), 1)*C20-4096)/(16*1024*1024)</f>
        <v>1.708984375E-3</v>
      </c>
      <c r="J20" s="2" t="s">
        <v>2</v>
      </c>
    </row>
    <row r="21" spans="2:10" x14ac:dyDescent="0.2">
      <c r="B21" s="2" t="s">
        <v>2</v>
      </c>
      <c r="C21" s="2">
        <v>458752</v>
      </c>
      <c r="D21" s="2" t="s">
        <v>2</v>
      </c>
      <c r="E21" s="2">
        <v>28672</v>
      </c>
      <c r="F21" s="2" t="s">
        <v>2</v>
      </c>
      <c r="G21" s="2">
        <v>16</v>
      </c>
      <c r="H21" s="2" t="s">
        <v>2</v>
      </c>
      <c r="I21" s="5">
        <f>(16*1024*1024-FLOOR((16*1024*1024-4096)/(C21), 1)*C21-4096)/(16*1024*1024)</f>
        <v>1.5380859375E-2</v>
      </c>
      <c r="J21" s="2" t="s">
        <v>2</v>
      </c>
    </row>
    <row r="26" spans="2:10" x14ac:dyDescent="0.2">
      <c r="B26" s="2" t="s">
        <v>2</v>
      </c>
      <c r="C26" s="2"/>
      <c r="D26" s="2" t="s">
        <v>2</v>
      </c>
      <c r="E26" s="2"/>
      <c r="F26" s="2" t="s">
        <v>2</v>
      </c>
    </row>
    <row r="27" spans="2:10" x14ac:dyDescent="0.2">
      <c r="B27" s="2" t="s">
        <v>2</v>
      </c>
      <c r="C27" s="2" t="s">
        <v>10</v>
      </c>
      <c r="D27" s="2" t="s">
        <v>2</v>
      </c>
      <c r="E27" s="2" t="s">
        <v>5</v>
      </c>
      <c r="F27" s="2" t="s">
        <v>2</v>
      </c>
    </row>
    <row r="28" spans="2:10" x14ac:dyDescent="0.2">
      <c r="B28" s="2" t="s">
        <v>2</v>
      </c>
      <c r="C28" s="2" t="s">
        <v>16</v>
      </c>
      <c r="D28" s="2" t="s">
        <v>2</v>
      </c>
      <c r="E28" s="2">
        <v>7</v>
      </c>
      <c r="F28" s="2" t="s">
        <v>2</v>
      </c>
    </row>
    <row r="29" spans="2:10" x14ac:dyDescent="0.2">
      <c r="B29" s="2" t="s">
        <v>2</v>
      </c>
      <c r="C29" s="2" t="s">
        <v>6</v>
      </c>
      <c r="D29" s="2" t="s">
        <v>2</v>
      </c>
      <c r="E29" s="2">
        <f>4096*E28</f>
        <v>28672</v>
      </c>
      <c r="F29" s="2" t="s">
        <v>2</v>
      </c>
    </row>
    <row r="30" spans="2:10" x14ac:dyDescent="0.2">
      <c r="B30" s="2" t="s">
        <v>2</v>
      </c>
      <c r="C30" s="2" t="s">
        <v>12</v>
      </c>
      <c r="D30" s="2" t="s">
        <v>2</v>
      </c>
      <c r="E30" s="3">
        <v>585</v>
      </c>
      <c r="F30" s="2" t="s">
        <v>2</v>
      </c>
    </row>
    <row r="31" spans="2:10" x14ac:dyDescent="0.2">
      <c r="B31" s="2" t="s">
        <v>2</v>
      </c>
      <c r="C31" s="2" t="s">
        <v>13</v>
      </c>
      <c r="D31" s="2" t="s">
        <v>2</v>
      </c>
      <c r="E31" s="2">
        <v>4096</v>
      </c>
      <c r="F31" s="2" t="s">
        <v>2</v>
      </c>
    </row>
    <row r="32" spans="2:10" x14ac:dyDescent="0.2">
      <c r="B32" s="2" t="s">
        <v>2</v>
      </c>
      <c r="C32" s="2" t="s">
        <v>14</v>
      </c>
      <c r="D32" s="2" t="s">
        <v>2</v>
      </c>
      <c r="E32" s="2">
        <v>0</v>
      </c>
      <c r="F32" s="2" t="s">
        <v>2</v>
      </c>
    </row>
    <row r="33" spans="2:6" x14ac:dyDescent="0.2">
      <c r="B33" s="2" t="s">
        <v>2</v>
      </c>
      <c r="C33" s="2" t="s">
        <v>15</v>
      </c>
      <c r="D33" s="2" t="s">
        <v>2</v>
      </c>
      <c r="E33" s="4">
        <f>SUM(E31:E32)/(4*1024*1024)</f>
        <v>9.765625E-4</v>
      </c>
      <c r="F33" s="2" t="s">
        <v>2</v>
      </c>
    </row>
  </sheetData>
  <pageMargins left="0.75" right="0.75" top="1" bottom="1" header="0.5" footer="0.5"/>
  <pageSetup paperSize="9" orientation="portrait" horizontalDpi="4294967292" verticalDpi="4294967292"/>
  <ignoredErrors>
    <ignoredError sqref="E33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J30"/>
  <sheetViews>
    <sheetView workbookViewId="0">
      <selection activeCell="B3" sqref="B3:J18"/>
    </sheetView>
  </sheetViews>
  <sheetFormatPr baseColWidth="10" defaultRowHeight="16" x14ac:dyDescent="0.2"/>
  <sheetData>
    <row r="3" spans="2:10" x14ac:dyDescent="0.2">
      <c r="B3" s="2" t="s">
        <v>2</v>
      </c>
      <c r="C3" s="2" t="s">
        <v>0</v>
      </c>
      <c r="D3" s="2" t="s">
        <v>2</v>
      </c>
      <c r="E3" s="2" t="s">
        <v>7</v>
      </c>
      <c r="F3" s="2" t="s">
        <v>2</v>
      </c>
      <c r="G3" s="2" t="s">
        <v>8</v>
      </c>
      <c r="H3" s="2" t="s">
        <v>2</v>
      </c>
      <c r="I3" s="2" t="s">
        <v>18</v>
      </c>
      <c r="J3" s="2" t="s">
        <v>2</v>
      </c>
    </row>
    <row r="4" spans="2:10" x14ac:dyDescent="0.2">
      <c r="B4" s="2" t="s">
        <v>2</v>
      </c>
      <c r="C4" s="2" t="s">
        <v>5</v>
      </c>
      <c r="D4" s="2" t="s">
        <v>2</v>
      </c>
      <c r="E4" s="2" t="s">
        <v>5</v>
      </c>
      <c r="F4" s="2" t="s">
        <v>2</v>
      </c>
      <c r="G4" s="2" t="s">
        <v>5</v>
      </c>
      <c r="H4" s="2" t="s">
        <v>2</v>
      </c>
      <c r="I4" s="2" t="s">
        <v>5</v>
      </c>
      <c r="J4" s="2" t="s">
        <v>2</v>
      </c>
    </row>
    <row r="5" spans="2:10" x14ac:dyDescent="0.2">
      <c r="B5" s="2" t="s">
        <v>2</v>
      </c>
      <c r="C5" s="2">
        <v>60</v>
      </c>
      <c r="D5" s="2" t="s">
        <v>2</v>
      </c>
      <c r="E5" s="2">
        <v>61440</v>
      </c>
      <c r="F5" s="2" t="s">
        <v>2</v>
      </c>
      <c r="G5" s="2"/>
      <c r="H5" s="2" t="s">
        <v>2</v>
      </c>
      <c r="J5" s="2" t="s">
        <v>2</v>
      </c>
    </row>
    <row r="6" spans="2:10" x14ac:dyDescent="0.2">
      <c r="B6" s="2" t="s">
        <v>2</v>
      </c>
      <c r="C6" s="2">
        <v>120</v>
      </c>
      <c r="D6" s="2" t="s">
        <v>2</v>
      </c>
      <c r="E6" s="2">
        <v>61440</v>
      </c>
      <c r="F6" s="2" t="s">
        <v>2</v>
      </c>
      <c r="G6" s="2"/>
      <c r="H6" s="2" t="s">
        <v>2</v>
      </c>
      <c r="J6" s="2" t="s">
        <v>2</v>
      </c>
    </row>
    <row r="7" spans="2:10" x14ac:dyDescent="0.2">
      <c r="B7" s="2" t="s">
        <v>2</v>
      </c>
      <c r="C7" s="2">
        <v>240</v>
      </c>
      <c r="D7" s="2" t="s">
        <v>2</v>
      </c>
      <c r="E7" s="2">
        <v>61440</v>
      </c>
      <c r="F7" s="2" t="s">
        <v>2</v>
      </c>
      <c r="G7" s="2"/>
      <c r="H7" s="2" t="s">
        <v>2</v>
      </c>
      <c r="J7" s="2" t="s">
        <v>2</v>
      </c>
    </row>
    <row r="8" spans="2:10" x14ac:dyDescent="0.2">
      <c r="B8" s="2" t="s">
        <v>2</v>
      </c>
      <c r="C8" s="2">
        <v>480</v>
      </c>
      <c r="D8" s="2" t="s">
        <v>2</v>
      </c>
      <c r="E8" s="2">
        <v>61440</v>
      </c>
      <c r="F8" s="2" t="s">
        <v>2</v>
      </c>
      <c r="G8" s="2"/>
      <c r="H8" s="2" t="s">
        <v>2</v>
      </c>
      <c r="J8" s="2" t="s">
        <v>2</v>
      </c>
    </row>
    <row r="9" spans="2:10" x14ac:dyDescent="0.2">
      <c r="B9" s="2" t="s">
        <v>2</v>
      </c>
      <c r="C9" s="2">
        <v>960</v>
      </c>
      <c r="D9" s="2" t="s">
        <v>2</v>
      </c>
      <c r="E9" s="2">
        <v>61440</v>
      </c>
      <c r="F9" s="2" t="s">
        <v>2</v>
      </c>
      <c r="G9" s="2"/>
      <c r="H9" s="2" t="s">
        <v>2</v>
      </c>
      <c r="J9" s="2" t="s">
        <v>2</v>
      </c>
    </row>
    <row r="10" spans="2:10" x14ac:dyDescent="0.2">
      <c r="B10" s="2" t="s">
        <v>2</v>
      </c>
      <c r="C10" s="2">
        <v>1920</v>
      </c>
      <c r="D10" s="2" t="s">
        <v>2</v>
      </c>
      <c r="E10" s="2">
        <v>61440</v>
      </c>
      <c r="F10" s="2" t="s">
        <v>2</v>
      </c>
      <c r="G10" s="2"/>
      <c r="H10" s="2" t="s">
        <v>2</v>
      </c>
      <c r="J10" s="2" t="s">
        <v>2</v>
      </c>
    </row>
    <row r="11" spans="2:10" x14ac:dyDescent="0.2">
      <c r="B11" s="2" t="s">
        <v>2</v>
      </c>
      <c r="C11" s="2">
        <v>3840</v>
      </c>
      <c r="D11" s="2" t="s">
        <v>2</v>
      </c>
      <c r="E11" s="2">
        <v>61440</v>
      </c>
      <c r="F11" s="2" t="s">
        <v>2</v>
      </c>
      <c r="G11" s="2"/>
      <c r="H11" s="2" t="s">
        <v>2</v>
      </c>
      <c r="J11" s="2" t="s">
        <v>2</v>
      </c>
    </row>
    <row r="12" spans="2:10" x14ac:dyDescent="0.2">
      <c r="B12" s="2" t="s">
        <v>2</v>
      </c>
      <c r="C12" s="2">
        <v>7680</v>
      </c>
      <c r="D12" s="2" t="s">
        <v>2</v>
      </c>
      <c r="E12" s="2">
        <v>61440</v>
      </c>
      <c r="F12" s="2" t="s">
        <v>2</v>
      </c>
      <c r="G12" s="2"/>
      <c r="H12" s="2" t="s">
        <v>2</v>
      </c>
      <c r="J12" s="2" t="s">
        <v>2</v>
      </c>
    </row>
    <row r="13" spans="2:10" x14ac:dyDescent="0.2">
      <c r="B13" s="2" t="s">
        <v>2</v>
      </c>
      <c r="C13" s="2">
        <v>15360</v>
      </c>
      <c r="D13" s="2" t="s">
        <v>2</v>
      </c>
      <c r="E13" s="2">
        <v>61440</v>
      </c>
      <c r="F13" s="2" t="s">
        <v>2</v>
      </c>
      <c r="G13" s="2"/>
      <c r="H13" s="2" t="s">
        <v>2</v>
      </c>
      <c r="I13" s="5"/>
      <c r="J13" s="2" t="s">
        <v>2</v>
      </c>
    </row>
    <row r="14" spans="2:10" x14ac:dyDescent="0.2">
      <c r="B14" s="2" t="s">
        <v>2</v>
      </c>
      <c r="C14" s="2">
        <v>30720</v>
      </c>
      <c r="D14" s="2" t="s">
        <v>2</v>
      </c>
      <c r="E14" s="2">
        <v>61440</v>
      </c>
      <c r="F14" s="2" t="s">
        <v>2</v>
      </c>
      <c r="G14" s="2"/>
      <c r="H14" s="2" t="s">
        <v>2</v>
      </c>
      <c r="I14" s="5"/>
      <c r="J14" s="2" t="s">
        <v>2</v>
      </c>
    </row>
    <row r="15" spans="2:10" x14ac:dyDescent="0.2">
      <c r="B15" s="2" t="s">
        <v>2</v>
      </c>
      <c r="C15" s="2">
        <v>61440</v>
      </c>
      <c r="D15" s="2" t="s">
        <v>2</v>
      </c>
      <c r="E15" s="2">
        <v>61440</v>
      </c>
      <c r="F15" s="2" t="s">
        <v>2</v>
      </c>
      <c r="G15" s="2">
        <v>1</v>
      </c>
      <c r="H15" s="2" t="s">
        <v>2</v>
      </c>
      <c r="I15" s="5"/>
      <c r="J15" s="2" t="s">
        <v>2</v>
      </c>
    </row>
    <row r="16" spans="2:10" x14ac:dyDescent="0.2">
      <c r="B16" s="2" t="s">
        <v>2</v>
      </c>
      <c r="C16" s="2">
        <v>122880</v>
      </c>
      <c r="D16" s="2" t="s">
        <v>2</v>
      </c>
      <c r="E16" s="2">
        <v>61440</v>
      </c>
      <c r="F16" s="2" t="s">
        <v>2</v>
      </c>
      <c r="G16" s="2">
        <v>2</v>
      </c>
      <c r="H16" s="2" t="s">
        <v>2</v>
      </c>
      <c r="I16" s="5">
        <f t="shared" ref="I16:I17" si="0">(16*1024*1024-FLOOR((16*1024*1024-4096)/(C16), 1)*C16-4096)/(16*1024*1024)</f>
        <v>3.662109375E-3</v>
      </c>
      <c r="J16" s="2" t="s">
        <v>2</v>
      </c>
    </row>
    <row r="17" spans="2:10" x14ac:dyDescent="0.2">
      <c r="B17" s="2" t="s">
        <v>2</v>
      </c>
      <c r="C17" s="2">
        <v>245760</v>
      </c>
      <c r="D17" s="2" t="s">
        <v>2</v>
      </c>
      <c r="E17" s="2">
        <v>61440</v>
      </c>
      <c r="F17" s="2" t="s">
        <v>2</v>
      </c>
      <c r="G17" s="2">
        <v>4</v>
      </c>
      <c r="H17" s="2" t="s">
        <v>2</v>
      </c>
      <c r="I17" s="5">
        <f t="shared" si="0"/>
        <v>3.662109375E-3</v>
      </c>
      <c r="J17" s="2" t="s">
        <v>2</v>
      </c>
    </row>
    <row r="18" spans="2:10" x14ac:dyDescent="0.2">
      <c r="B18" s="2" t="s">
        <v>2</v>
      </c>
      <c r="C18" s="2">
        <v>491520</v>
      </c>
      <c r="D18" s="2" t="s">
        <v>2</v>
      </c>
      <c r="E18" s="2">
        <v>61440</v>
      </c>
      <c r="F18" s="2" t="s">
        <v>2</v>
      </c>
      <c r="G18" s="2">
        <v>8</v>
      </c>
      <c r="H18" s="2" t="s">
        <v>2</v>
      </c>
      <c r="I18" s="5">
        <f>(16*1024*1024-FLOOR((16*1024*1024-4096)/(C18), 1)*C18-4096)/(16*1024*1024)</f>
        <v>3.662109375E-3</v>
      </c>
      <c r="J18" s="2" t="s">
        <v>2</v>
      </c>
    </row>
    <row r="19" spans="2:10" x14ac:dyDescent="0.2">
      <c r="I19" s="5"/>
      <c r="J19" s="2"/>
    </row>
    <row r="23" spans="2:10" x14ac:dyDescent="0.2">
      <c r="B23" s="2" t="s">
        <v>2</v>
      </c>
      <c r="C23" s="2"/>
      <c r="D23" s="2" t="s">
        <v>2</v>
      </c>
      <c r="E23" s="2"/>
      <c r="F23" s="2" t="s">
        <v>2</v>
      </c>
    </row>
    <row r="24" spans="2:10" x14ac:dyDescent="0.2">
      <c r="B24" s="2" t="s">
        <v>2</v>
      </c>
      <c r="C24" s="2" t="s">
        <v>10</v>
      </c>
      <c r="D24" s="2" t="s">
        <v>2</v>
      </c>
      <c r="E24" s="2" t="s">
        <v>5</v>
      </c>
      <c r="F24" s="2" t="s">
        <v>2</v>
      </c>
    </row>
    <row r="25" spans="2:10" x14ac:dyDescent="0.2">
      <c r="B25" s="2" t="s">
        <v>2</v>
      </c>
      <c r="C25" s="2" t="s">
        <v>16</v>
      </c>
      <c r="D25" s="2" t="s">
        <v>2</v>
      </c>
      <c r="E25" s="2">
        <v>15</v>
      </c>
      <c r="F25" s="2" t="s">
        <v>2</v>
      </c>
    </row>
    <row r="26" spans="2:10" x14ac:dyDescent="0.2">
      <c r="B26" s="2" t="s">
        <v>2</v>
      </c>
      <c r="C26" s="2" t="s">
        <v>6</v>
      </c>
      <c r="D26" s="2" t="s">
        <v>2</v>
      </c>
      <c r="E26" s="2">
        <f>4096*E25</f>
        <v>61440</v>
      </c>
      <c r="F26" s="2" t="s">
        <v>2</v>
      </c>
    </row>
    <row r="27" spans="2:10" x14ac:dyDescent="0.2">
      <c r="B27" s="2" t="s">
        <v>2</v>
      </c>
      <c r="C27" s="2" t="s">
        <v>12</v>
      </c>
      <c r="D27" s="2" t="s">
        <v>2</v>
      </c>
      <c r="E27" s="3">
        <v>273</v>
      </c>
      <c r="F27" s="2" t="s">
        <v>2</v>
      </c>
    </row>
    <row r="28" spans="2:10" x14ac:dyDescent="0.2">
      <c r="B28" s="2" t="s">
        <v>2</v>
      </c>
      <c r="C28" s="2" t="s">
        <v>13</v>
      </c>
      <c r="D28" s="2" t="s">
        <v>2</v>
      </c>
      <c r="E28" s="2">
        <v>4096</v>
      </c>
      <c r="F28" s="2" t="s">
        <v>2</v>
      </c>
    </row>
    <row r="29" spans="2:10" x14ac:dyDescent="0.2">
      <c r="B29" s="2" t="s">
        <v>2</v>
      </c>
      <c r="C29" s="2" t="s">
        <v>14</v>
      </c>
      <c r="D29" s="2" t="s">
        <v>2</v>
      </c>
      <c r="E29" s="2">
        <v>0</v>
      </c>
      <c r="F29" s="2" t="s">
        <v>2</v>
      </c>
    </row>
    <row r="30" spans="2:10" x14ac:dyDescent="0.2">
      <c r="B30" s="2" t="s">
        <v>2</v>
      </c>
      <c r="C30" s="2" t="s">
        <v>15</v>
      </c>
      <c r="D30" s="2" t="s">
        <v>2</v>
      </c>
      <c r="E30" s="4">
        <f>SUM(E28:E29)/(4*1024*1024)</f>
        <v>9.765625E-4</v>
      </c>
      <c r="F30" s="2" t="s">
        <v>2</v>
      </c>
    </row>
  </sheetData>
  <pageMargins left="0.75" right="0.75" top="1" bottom="1" header="0.5" footer="0.5"/>
  <pageSetup paperSize="9" orientation="portrait" horizontalDpi="4294967292" verticalDpi="4294967292"/>
  <ignoredErrors>
    <ignoredError sqref="E30" formulaRang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Mixed</vt:lpstr>
      <vt:lpstr>Small</vt:lpstr>
      <vt:lpstr>1</vt:lpstr>
      <vt:lpstr>9</vt:lpstr>
      <vt:lpstr>5</vt:lpstr>
      <vt:lpstr>11</vt:lpstr>
      <vt:lpstr>3</vt:lpstr>
      <vt:lpstr>13</vt:lpstr>
      <vt:lpstr>7</vt:lpstr>
      <vt:lpstr>15</vt:lpstr>
    </vt:vector>
  </TitlesOfParts>
  <Company>Hansoft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Olofsson</dc:creator>
  <cp:lastModifiedBy>Erik Olofsson</cp:lastModifiedBy>
  <dcterms:created xsi:type="dcterms:W3CDTF">2014-02-02T15:03:33Z</dcterms:created>
  <dcterms:modified xsi:type="dcterms:W3CDTF">2024-08-02T14:32:41Z</dcterms:modified>
</cp:coreProperties>
</file>