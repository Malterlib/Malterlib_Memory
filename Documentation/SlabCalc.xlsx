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autoCompressPictures="0"/>
  <bookViews>
    <workbookView xWindow="-20" yWindow="0" windowWidth="28140" windowHeight="175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1" l="1"/>
  <c r="D20" i="1"/>
  <c r="B16" i="1"/>
  <c r="B17" i="1"/>
  <c r="B18" i="1"/>
  <c r="B19" i="1"/>
  <c r="B20" i="1"/>
  <c r="B21" i="1"/>
  <c r="B22" i="1"/>
  <c r="D21" i="1"/>
  <c r="D22" i="1"/>
  <c r="D17" i="1"/>
  <c r="D18" i="1"/>
  <c r="D19" i="1"/>
  <c r="D15" i="1"/>
  <c r="E15" i="1"/>
  <c r="A15" i="1"/>
  <c r="E16" i="1"/>
  <c r="A16" i="1"/>
  <c r="E17" i="1"/>
  <c r="A17" i="1"/>
  <c r="E18" i="1"/>
  <c r="A18" i="1"/>
  <c r="E19" i="1"/>
  <c r="A19" i="1"/>
  <c r="E20" i="1"/>
  <c r="A20" i="1"/>
  <c r="E21" i="1"/>
  <c r="A21" i="1"/>
  <c r="E22" i="1"/>
  <c r="A22" i="1"/>
  <c r="B125" i="1"/>
  <c r="K4" i="1"/>
  <c r="K5" i="1"/>
  <c r="K6" i="1"/>
  <c r="K7" i="1"/>
  <c r="K8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I111" i="1"/>
  <c r="I119" i="1"/>
  <c r="I127" i="1"/>
  <c r="J12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23" i="1"/>
  <c r="G23" i="1"/>
  <c r="H24" i="1"/>
  <c r="G24" i="1"/>
  <c r="H25" i="1"/>
  <c r="G25" i="1"/>
  <c r="H26" i="1"/>
  <c r="G26" i="1"/>
  <c r="H27" i="1"/>
  <c r="G27" i="1"/>
  <c r="H28" i="1"/>
  <c r="G28" i="1"/>
  <c r="H29" i="1"/>
  <c r="G29" i="1"/>
  <c r="G30" i="1"/>
  <c r="H31" i="1"/>
  <c r="G31" i="1"/>
  <c r="H32" i="1"/>
  <c r="G32" i="1"/>
  <c r="H33" i="1"/>
  <c r="G33" i="1"/>
  <c r="H34" i="1"/>
  <c r="G34" i="1"/>
  <c r="H35" i="1"/>
  <c r="G35" i="1"/>
  <c r="H36" i="1"/>
  <c r="G36" i="1"/>
  <c r="H37" i="1"/>
  <c r="G37" i="1"/>
  <c r="G38" i="1"/>
  <c r="H39" i="1"/>
  <c r="G39" i="1"/>
  <c r="H40" i="1"/>
  <c r="G40" i="1"/>
  <c r="H41" i="1"/>
  <c r="G41" i="1"/>
  <c r="H42" i="1"/>
  <c r="G42" i="1"/>
  <c r="H43" i="1"/>
  <c r="G43" i="1"/>
  <c r="H44" i="1"/>
  <c r="G44" i="1"/>
  <c r="H45" i="1"/>
  <c r="G45" i="1"/>
  <c r="G46" i="1"/>
  <c r="H47" i="1"/>
  <c r="G47" i="1"/>
  <c r="H48" i="1"/>
  <c r="G48" i="1"/>
  <c r="H49" i="1"/>
  <c r="G49" i="1"/>
  <c r="H50" i="1"/>
  <c r="G50" i="1"/>
  <c r="H51" i="1"/>
  <c r="G51" i="1"/>
  <c r="H52" i="1"/>
  <c r="G52" i="1"/>
  <c r="H53" i="1"/>
  <c r="G53" i="1"/>
  <c r="G54" i="1"/>
  <c r="H55" i="1"/>
  <c r="G55" i="1"/>
  <c r="H56" i="1"/>
  <c r="G56" i="1"/>
  <c r="H57" i="1"/>
  <c r="G57" i="1"/>
  <c r="H58" i="1"/>
  <c r="G58" i="1"/>
  <c r="H59" i="1"/>
  <c r="G59" i="1"/>
  <c r="H60" i="1"/>
  <c r="G60" i="1"/>
  <c r="H61" i="1"/>
  <c r="G61" i="1"/>
  <c r="G62" i="1"/>
  <c r="H63" i="1"/>
  <c r="G63" i="1"/>
  <c r="H64" i="1"/>
  <c r="G64" i="1"/>
  <c r="H65" i="1"/>
  <c r="G65" i="1"/>
  <c r="H66" i="1"/>
  <c r="G66" i="1"/>
  <c r="H67" i="1"/>
  <c r="G67" i="1"/>
  <c r="H68" i="1"/>
  <c r="G68" i="1"/>
  <c r="H69" i="1"/>
  <c r="G69" i="1"/>
  <c r="G70" i="1"/>
  <c r="H71" i="1"/>
  <c r="G71" i="1"/>
  <c r="H72" i="1"/>
  <c r="G72" i="1"/>
  <c r="H73" i="1"/>
  <c r="G73" i="1"/>
  <c r="H74" i="1"/>
  <c r="G74" i="1"/>
  <c r="H75" i="1"/>
  <c r="G75" i="1"/>
  <c r="H76" i="1"/>
  <c r="G76" i="1"/>
  <c r="H77" i="1"/>
  <c r="G77" i="1"/>
  <c r="G78" i="1"/>
  <c r="H79" i="1"/>
  <c r="G79" i="1"/>
  <c r="H80" i="1"/>
  <c r="G80" i="1"/>
  <c r="H81" i="1"/>
  <c r="G81" i="1"/>
  <c r="H82" i="1"/>
  <c r="G82" i="1"/>
  <c r="H83" i="1"/>
  <c r="G83" i="1"/>
  <c r="H84" i="1"/>
  <c r="G84" i="1"/>
  <c r="H85" i="1"/>
  <c r="G85" i="1"/>
  <c r="G86" i="1"/>
  <c r="H87" i="1"/>
  <c r="G87" i="1"/>
  <c r="H88" i="1"/>
  <c r="G88" i="1"/>
  <c r="H89" i="1"/>
  <c r="G89" i="1"/>
  <c r="H90" i="1"/>
  <c r="G90" i="1"/>
  <c r="H91" i="1"/>
  <c r="G91" i="1"/>
  <c r="H92" i="1"/>
  <c r="G92" i="1"/>
  <c r="H93" i="1"/>
  <c r="G93" i="1"/>
  <c r="G94" i="1"/>
  <c r="H95" i="1"/>
  <c r="G95" i="1"/>
  <c r="H96" i="1"/>
  <c r="G96" i="1"/>
  <c r="H97" i="1"/>
  <c r="G97" i="1"/>
  <c r="H98" i="1"/>
  <c r="G98" i="1"/>
  <c r="H99" i="1"/>
  <c r="G99" i="1"/>
  <c r="H100" i="1"/>
  <c r="G100" i="1"/>
  <c r="H101" i="1"/>
  <c r="G101" i="1"/>
  <c r="G102" i="1"/>
  <c r="H103" i="1"/>
  <c r="G103" i="1"/>
  <c r="H104" i="1"/>
  <c r="G104" i="1"/>
  <c r="H105" i="1"/>
  <c r="G105" i="1"/>
  <c r="H106" i="1"/>
  <c r="G106" i="1"/>
  <c r="H107" i="1"/>
  <c r="G107" i="1"/>
  <c r="H108" i="1"/>
  <c r="G108" i="1"/>
  <c r="H109" i="1"/>
  <c r="G109" i="1"/>
  <c r="H110" i="1"/>
  <c r="G110" i="1"/>
  <c r="H111" i="1"/>
  <c r="G111" i="1"/>
  <c r="H112" i="1"/>
  <c r="G112" i="1"/>
  <c r="H113" i="1"/>
  <c r="G113" i="1"/>
  <c r="H114" i="1"/>
  <c r="G114" i="1"/>
  <c r="H115" i="1"/>
  <c r="G115" i="1"/>
  <c r="H116" i="1"/>
  <c r="G116" i="1"/>
  <c r="H117" i="1"/>
  <c r="G117" i="1"/>
  <c r="H118" i="1"/>
  <c r="G118" i="1"/>
  <c r="H119" i="1"/>
  <c r="G119" i="1"/>
  <c r="H120" i="1"/>
  <c r="G120" i="1"/>
  <c r="H121" i="1"/>
  <c r="G121" i="1"/>
  <c r="H122" i="1"/>
  <c r="G122" i="1"/>
  <c r="H123" i="1"/>
  <c r="G123" i="1"/>
  <c r="H124" i="1"/>
  <c r="G124" i="1"/>
  <c r="H125" i="1"/>
  <c r="G125" i="1"/>
  <c r="H126" i="1"/>
  <c r="G126" i="1"/>
  <c r="H127" i="1"/>
  <c r="G127" i="1"/>
  <c r="K127" i="1"/>
  <c r="H128" i="1"/>
  <c r="G128" i="1"/>
  <c r="S128" i="1"/>
  <c r="I110" i="1"/>
  <c r="I118" i="1"/>
  <c r="I126" i="1"/>
  <c r="J126" i="1"/>
  <c r="M126" i="1"/>
  <c r="O102" i="1"/>
  <c r="O110" i="1"/>
  <c r="O118" i="1"/>
  <c r="O126" i="1"/>
  <c r="S126" i="1"/>
  <c r="M127" i="1"/>
  <c r="O103" i="1"/>
  <c r="O111" i="1"/>
  <c r="O119" i="1"/>
  <c r="O127" i="1"/>
  <c r="M128" i="1"/>
  <c r="O104" i="1"/>
  <c r="O112" i="1"/>
  <c r="O120" i="1"/>
  <c r="O128" i="1"/>
  <c r="H129" i="1"/>
  <c r="G129" i="1"/>
  <c r="M129" i="1"/>
  <c r="O105" i="1"/>
  <c r="O113" i="1"/>
  <c r="O121" i="1"/>
  <c r="O129" i="1"/>
  <c r="H130" i="1"/>
  <c r="G130" i="1"/>
  <c r="M130" i="1"/>
  <c r="O106" i="1"/>
  <c r="O114" i="1"/>
  <c r="O122" i="1"/>
  <c r="O130" i="1"/>
  <c r="H131" i="1"/>
  <c r="G131" i="1"/>
  <c r="M131" i="1"/>
  <c r="O107" i="1"/>
  <c r="O115" i="1"/>
  <c r="O123" i="1"/>
  <c r="O131" i="1"/>
  <c r="H132" i="1"/>
  <c r="G132" i="1"/>
  <c r="M132" i="1"/>
  <c r="O108" i="1"/>
  <c r="O116" i="1"/>
  <c r="O124" i="1"/>
  <c r="O132" i="1"/>
  <c r="O140" i="1"/>
  <c r="O148" i="1"/>
  <c r="O156" i="1"/>
  <c r="O164" i="1"/>
  <c r="O172" i="1"/>
  <c r="O180" i="1"/>
  <c r="O188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O340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452" i="1"/>
  <c r="O460" i="1"/>
  <c r="O468" i="1"/>
  <c r="O476" i="1"/>
  <c r="O484" i="1"/>
  <c r="H133" i="1"/>
  <c r="G133" i="1"/>
  <c r="M133" i="1"/>
  <c r="O101" i="1"/>
  <c r="O109" i="1"/>
  <c r="O117" i="1"/>
  <c r="O125" i="1"/>
  <c r="O133" i="1"/>
  <c r="H134" i="1"/>
  <c r="G134" i="1"/>
  <c r="M134" i="1"/>
  <c r="O134" i="1"/>
  <c r="H135" i="1"/>
  <c r="G135" i="1"/>
  <c r="M135" i="1"/>
  <c r="O135" i="1"/>
  <c r="O143" i="1"/>
  <c r="O151" i="1"/>
  <c r="O159" i="1"/>
  <c r="O167" i="1"/>
  <c r="O175" i="1"/>
  <c r="O183" i="1"/>
  <c r="O191" i="1"/>
  <c r="O199" i="1"/>
  <c r="O207" i="1"/>
  <c r="O215" i="1"/>
  <c r="O223" i="1"/>
  <c r="O231" i="1"/>
  <c r="O239" i="1"/>
  <c r="O247" i="1"/>
  <c r="O255" i="1"/>
  <c r="O263" i="1"/>
  <c r="O271" i="1"/>
  <c r="O279" i="1"/>
  <c r="O287" i="1"/>
  <c r="O295" i="1"/>
  <c r="O303" i="1"/>
  <c r="O311" i="1"/>
  <c r="O319" i="1"/>
  <c r="O327" i="1"/>
  <c r="O335" i="1"/>
  <c r="O343" i="1"/>
  <c r="O351" i="1"/>
  <c r="O359" i="1"/>
  <c r="O367" i="1"/>
  <c r="O375" i="1"/>
  <c r="O383" i="1"/>
  <c r="O391" i="1"/>
  <c r="O399" i="1"/>
  <c r="O407" i="1"/>
  <c r="O415" i="1"/>
  <c r="O423" i="1"/>
  <c r="O431" i="1"/>
  <c r="O439" i="1"/>
  <c r="O447" i="1"/>
  <c r="O455" i="1"/>
  <c r="O463" i="1"/>
  <c r="O471" i="1"/>
  <c r="O479" i="1"/>
  <c r="H136" i="1"/>
  <c r="G136" i="1"/>
  <c r="M136" i="1"/>
  <c r="O136" i="1"/>
  <c r="O144" i="1"/>
  <c r="O152" i="1"/>
  <c r="O160" i="1"/>
  <c r="O168" i="1"/>
  <c r="O176" i="1"/>
  <c r="O184" i="1"/>
  <c r="O192" i="1"/>
  <c r="O200" i="1"/>
  <c r="O208" i="1"/>
  <c r="O216" i="1"/>
  <c r="O224" i="1"/>
  <c r="O232" i="1"/>
  <c r="O240" i="1"/>
  <c r="O248" i="1"/>
  <c r="O256" i="1"/>
  <c r="O264" i="1"/>
  <c r="O272" i="1"/>
  <c r="O280" i="1"/>
  <c r="O288" i="1"/>
  <c r="O296" i="1"/>
  <c r="O304" i="1"/>
  <c r="O312" i="1"/>
  <c r="O320" i="1"/>
  <c r="O328" i="1"/>
  <c r="O336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448" i="1"/>
  <c r="O456" i="1"/>
  <c r="O464" i="1"/>
  <c r="O472" i="1"/>
  <c r="O480" i="1"/>
  <c r="H137" i="1"/>
  <c r="G137" i="1"/>
  <c r="M137" i="1"/>
  <c r="O137" i="1"/>
  <c r="H138" i="1"/>
  <c r="G138" i="1"/>
  <c r="M138" i="1"/>
  <c r="O138" i="1"/>
  <c r="O146" i="1"/>
  <c r="O154" i="1"/>
  <c r="O162" i="1"/>
  <c r="O170" i="1"/>
  <c r="O178" i="1"/>
  <c r="O186" i="1"/>
  <c r="O194" i="1"/>
  <c r="O202" i="1"/>
  <c r="O210" i="1"/>
  <c r="O218" i="1"/>
  <c r="O226" i="1"/>
  <c r="O234" i="1"/>
  <c r="O242" i="1"/>
  <c r="O250" i="1"/>
  <c r="O258" i="1"/>
  <c r="O266" i="1"/>
  <c r="O274" i="1"/>
  <c r="O282" i="1"/>
  <c r="O290" i="1"/>
  <c r="O298" i="1"/>
  <c r="O306" i="1"/>
  <c r="O314" i="1"/>
  <c r="O322" i="1"/>
  <c r="O330" i="1"/>
  <c r="O338" i="1"/>
  <c r="O346" i="1"/>
  <c r="O354" i="1"/>
  <c r="O362" i="1"/>
  <c r="O370" i="1"/>
  <c r="O378" i="1"/>
  <c r="O386" i="1"/>
  <c r="O394" i="1"/>
  <c r="O402" i="1"/>
  <c r="O410" i="1"/>
  <c r="O418" i="1"/>
  <c r="O426" i="1"/>
  <c r="O434" i="1"/>
  <c r="O442" i="1"/>
  <c r="O450" i="1"/>
  <c r="O458" i="1"/>
  <c r="O466" i="1"/>
  <c r="O474" i="1"/>
  <c r="O482" i="1"/>
  <c r="H139" i="1"/>
  <c r="G139" i="1"/>
  <c r="M139" i="1"/>
  <c r="O139" i="1"/>
  <c r="H140" i="1"/>
  <c r="G140" i="1"/>
  <c r="M140" i="1"/>
  <c r="H141" i="1"/>
  <c r="G141" i="1"/>
  <c r="M141" i="1"/>
  <c r="O141" i="1"/>
  <c r="H142" i="1"/>
  <c r="G142" i="1"/>
  <c r="M142" i="1"/>
  <c r="O142" i="1"/>
  <c r="H143" i="1"/>
  <c r="G143" i="1"/>
  <c r="M143" i="1"/>
  <c r="H144" i="1"/>
  <c r="G144" i="1"/>
  <c r="M144" i="1"/>
  <c r="H145" i="1"/>
  <c r="G145" i="1"/>
  <c r="M145" i="1"/>
  <c r="O145" i="1"/>
  <c r="H146" i="1"/>
  <c r="G146" i="1"/>
  <c r="M146" i="1"/>
  <c r="H147" i="1"/>
  <c r="G147" i="1"/>
  <c r="M147" i="1"/>
  <c r="O147" i="1"/>
  <c r="H148" i="1"/>
  <c r="G148" i="1"/>
  <c r="M148" i="1"/>
  <c r="H149" i="1"/>
  <c r="G149" i="1"/>
  <c r="M149" i="1"/>
  <c r="O149" i="1"/>
  <c r="H150" i="1"/>
  <c r="G150" i="1"/>
  <c r="M150" i="1"/>
  <c r="O150" i="1"/>
  <c r="O158" i="1"/>
  <c r="O166" i="1"/>
  <c r="O174" i="1"/>
  <c r="O182" i="1"/>
  <c r="O190" i="1"/>
  <c r="O198" i="1"/>
  <c r="O206" i="1"/>
  <c r="O214" i="1"/>
  <c r="O222" i="1"/>
  <c r="O230" i="1"/>
  <c r="O238" i="1"/>
  <c r="O246" i="1"/>
  <c r="O254" i="1"/>
  <c r="O262" i="1"/>
  <c r="O270" i="1"/>
  <c r="O278" i="1"/>
  <c r="O286" i="1"/>
  <c r="O294" i="1"/>
  <c r="H151" i="1"/>
  <c r="G151" i="1"/>
  <c r="M151" i="1"/>
  <c r="H152" i="1"/>
  <c r="G152" i="1"/>
  <c r="M152" i="1"/>
  <c r="H153" i="1"/>
  <c r="G153" i="1"/>
  <c r="M153" i="1"/>
  <c r="O153" i="1"/>
  <c r="O161" i="1"/>
  <c r="O169" i="1"/>
  <c r="O177" i="1"/>
  <c r="H154" i="1"/>
  <c r="G154" i="1"/>
  <c r="M154" i="1"/>
  <c r="H155" i="1"/>
  <c r="G155" i="1"/>
  <c r="M155" i="1"/>
  <c r="O155" i="1"/>
  <c r="O163" i="1"/>
  <c r="O171" i="1"/>
  <c r="O179" i="1"/>
  <c r="O187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419" i="1"/>
  <c r="O427" i="1"/>
  <c r="O435" i="1"/>
  <c r="O443" i="1"/>
  <c r="O451" i="1"/>
  <c r="O459" i="1"/>
  <c r="O467" i="1"/>
  <c r="O475" i="1"/>
  <c r="O483" i="1"/>
  <c r="H156" i="1"/>
  <c r="G156" i="1"/>
  <c r="M156" i="1"/>
  <c r="H157" i="1"/>
  <c r="G157" i="1"/>
  <c r="M157" i="1"/>
  <c r="O157" i="1"/>
  <c r="O165" i="1"/>
  <c r="O173" i="1"/>
  <c r="O181" i="1"/>
  <c r="O189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69" i="1"/>
  <c r="O477" i="1"/>
  <c r="O485" i="1"/>
  <c r="H158" i="1"/>
  <c r="G158" i="1"/>
  <c r="M158" i="1"/>
  <c r="H159" i="1"/>
  <c r="G159" i="1"/>
  <c r="M159" i="1"/>
  <c r="H160" i="1"/>
  <c r="G160" i="1"/>
  <c r="M160" i="1"/>
  <c r="H161" i="1"/>
  <c r="G161" i="1"/>
  <c r="M161" i="1"/>
  <c r="H162" i="1"/>
  <c r="G162" i="1"/>
  <c r="M162" i="1"/>
  <c r="H163" i="1"/>
  <c r="G163" i="1"/>
  <c r="M163" i="1"/>
  <c r="H164" i="1"/>
  <c r="G164" i="1"/>
  <c r="M164" i="1"/>
  <c r="H165" i="1"/>
  <c r="G165" i="1"/>
  <c r="M165" i="1"/>
  <c r="H166" i="1"/>
  <c r="G166" i="1"/>
  <c r="M166" i="1"/>
  <c r="H167" i="1"/>
  <c r="G167" i="1"/>
  <c r="M167" i="1"/>
  <c r="H168" i="1"/>
  <c r="G168" i="1"/>
  <c r="M168" i="1"/>
  <c r="H169" i="1"/>
  <c r="G169" i="1"/>
  <c r="M169" i="1"/>
  <c r="H170" i="1"/>
  <c r="G170" i="1"/>
  <c r="M170" i="1"/>
  <c r="H171" i="1"/>
  <c r="G171" i="1"/>
  <c r="M171" i="1"/>
  <c r="H172" i="1"/>
  <c r="G172" i="1"/>
  <c r="M172" i="1"/>
  <c r="H173" i="1"/>
  <c r="G173" i="1"/>
  <c r="M173" i="1"/>
  <c r="H174" i="1"/>
  <c r="G174" i="1"/>
  <c r="M174" i="1"/>
  <c r="H175" i="1"/>
  <c r="G175" i="1"/>
  <c r="M175" i="1"/>
  <c r="H176" i="1"/>
  <c r="G176" i="1"/>
  <c r="M176" i="1"/>
  <c r="H177" i="1"/>
  <c r="G177" i="1"/>
  <c r="M177" i="1"/>
  <c r="H178" i="1"/>
  <c r="G178" i="1"/>
  <c r="M178" i="1"/>
  <c r="H179" i="1"/>
  <c r="G179" i="1"/>
  <c r="M179" i="1"/>
  <c r="H180" i="1"/>
  <c r="G180" i="1"/>
  <c r="M180" i="1"/>
  <c r="H181" i="1"/>
  <c r="G181" i="1"/>
  <c r="M181" i="1"/>
  <c r="H182" i="1"/>
  <c r="G182" i="1"/>
  <c r="M182" i="1"/>
  <c r="H183" i="1"/>
  <c r="G183" i="1"/>
  <c r="M183" i="1"/>
  <c r="H184" i="1"/>
  <c r="G184" i="1"/>
  <c r="M184" i="1"/>
  <c r="H185" i="1"/>
  <c r="G185" i="1"/>
  <c r="M185" i="1"/>
  <c r="O185" i="1"/>
  <c r="O193" i="1"/>
  <c r="O201" i="1"/>
  <c r="O209" i="1"/>
  <c r="H186" i="1"/>
  <c r="G186" i="1"/>
  <c r="M186" i="1"/>
  <c r="H187" i="1"/>
  <c r="G187" i="1"/>
  <c r="M187" i="1"/>
  <c r="H188" i="1"/>
  <c r="G188" i="1"/>
  <c r="M188" i="1"/>
  <c r="H189" i="1"/>
  <c r="G189" i="1"/>
  <c r="M189" i="1"/>
  <c r="H190" i="1"/>
  <c r="G190" i="1"/>
  <c r="M190" i="1"/>
  <c r="H191" i="1"/>
  <c r="G191" i="1"/>
  <c r="M191" i="1"/>
  <c r="H192" i="1"/>
  <c r="G192" i="1"/>
  <c r="M192" i="1"/>
  <c r="H193" i="1"/>
  <c r="G193" i="1"/>
  <c r="M193" i="1"/>
  <c r="H194" i="1"/>
  <c r="G194" i="1"/>
  <c r="M194" i="1"/>
  <c r="H195" i="1"/>
  <c r="G195" i="1"/>
  <c r="M195" i="1"/>
  <c r="H196" i="1"/>
  <c r="G196" i="1"/>
  <c r="M196" i="1"/>
  <c r="H197" i="1"/>
  <c r="G197" i="1"/>
  <c r="M197" i="1"/>
  <c r="H198" i="1"/>
  <c r="G198" i="1"/>
  <c r="M198" i="1"/>
  <c r="H199" i="1"/>
  <c r="G199" i="1"/>
  <c r="M199" i="1"/>
  <c r="H200" i="1"/>
  <c r="G200" i="1"/>
  <c r="M200" i="1"/>
  <c r="H201" i="1"/>
  <c r="G201" i="1"/>
  <c r="M201" i="1"/>
  <c r="H202" i="1"/>
  <c r="G202" i="1"/>
  <c r="M202" i="1"/>
  <c r="H203" i="1"/>
  <c r="G203" i="1"/>
  <c r="M203" i="1"/>
  <c r="H204" i="1"/>
  <c r="G204" i="1"/>
  <c r="M204" i="1"/>
  <c r="H205" i="1"/>
  <c r="G205" i="1"/>
  <c r="M205" i="1"/>
  <c r="H206" i="1"/>
  <c r="G206" i="1"/>
  <c r="M206" i="1"/>
  <c r="H207" i="1"/>
  <c r="G207" i="1"/>
  <c r="M207" i="1"/>
  <c r="H208" i="1"/>
  <c r="G208" i="1"/>
  <c r="M208" i="1"/>
  <c r="H209" i="1"/>
  <c r="G209" i="1"/>
  <c r="M209" i="1"/>
  <c r="H210" i="1"/>
  <c r="G210" i="1"/>
  <c r="M210" i="1"/>
  <c r="H211" i="1"/>
  <c r="G211" i="1"/>
  <c r="M211" i="1"/>
  <c r="H212" i="1"/>
  <c r="G212" i="1"/>
  <c r="M212" i="1"/>
  <c r="H213" i="1"/>
  <c r="G213" i="1"/>
  <c r="M213" i="1"/>
  <c r="H214" i="1"/>
  <c r="G214" i="1"/>
  <c r="M214" i="1"/>
  <c r="H215" i="1"/>
  <c r="G215" i="1"/>
  <c r="M215" i="1"/>
  <c r="H216" i="1"/>
  <c r="G216" i="1"/>
  <c r="M216" i="1"/>
  <c r="H217" i="1"/>
  <c r="G217" i="1"/>
  <c r="M217" i="1"/>
  <c r="O217" i="1"/>
  <c r="O225" i="1"/>
  <c r="O233" i="1"/>
  <c r="O241" i="1"/>
  <c r="O249" i="1"/>
  <c r="O257" i="1"/>
  <c r="O265" i="1"/>
  <c r="O273" i="1"/>
  <c r="O281" i="1"/>
  <c r="O289" i="1"/>
  <c r="O297" i="1"/>
  <c r="O305" i="1"/>
  <c r="O313" i="1"/>
  <c r="O321" i="1"/>
  <c r="O329" i="1"/>
  <c r="O337" i="1"/>
  <c r="O345" i="1"/>
  <c r="O353" i="1"/>
  <c r="O361" i="1"/>
  <c r="O369" i="1"/>
  <c r="O377" i="1"/>
  <c r="O385" i="1"/>
  <c r="O393" i="1"/>
  <c r="O401" i="1"/>
  <c r="O409" i="1"/>
  <c r="O417" i="1"/>
  <c r="O425" i="1"/>
  <c r="O433" i="1"/>
  <c r="O441" i="1"/>
  <c r="O449" i="1"/>
  <c r="O457" i="1"/>
  <c r="O465" i="1"/>
  <c r="O473" i="1"/>
  <c r="O481" i="1"/>
  <c r="H218" i="1"/>
  <c r="G218" i="1"/>
  <c r="M218" i="1"/>
  <c r="H219" i="1"/>
  <c r="G219" i="1"/>
  <c r="M219" i="1"/>
  <c r="H220" i="1"/>
  <c r="G220" i="1"/>
  <c r="M220" i="1"/>
  <c r="H221" i="1"/>
  <c r="G221" i="1"/>
  <c r="M221" i="1"/>
  <c r="H222" i="1"/>
  <c r="G222" i="1"/>
  <c r="M222" i="1"/>
  <c r="H223" i="1"/>
  <c r="G223" i="1"/>
  <c r="M223" i="1"/>
  <c r="H224" i="1"/>
  <c r="G224" i="1"/>
  <c r="M224" i="1"/>
  <c r="H225" i="1"/>
  <c r="G225" i="1"/>
  <c r="M225" i="1"/>
  <c r="H226" i="1"/>
  <c r="G226" i="1"/>
  <c r="M226" i="1"/>
  <c r="H227" i="1"/>
  <c r="G227" i="1"/>
  <c r="M227" i="1"/>
  <c r="H228" i="1"/>
  <c r="G228" i="1"/>
  <c r="M228" i="1"/>
  <c r="H229" i="1"/>
  <c r="G229" i="1"/>
  <c r="M229" i="1"/>
  <c r="H230" i="1"/>
  <c r="G230" i="1"/>
  <c r="M230" i="1"/>
  <c r="H231" i="1"/>
  <c r="G231" i="1"/>
  <c r="M231" i="1"/>
  <c r="H232" i="1"/>
  <c r="G232" i="1"/>
  <c r="M232" i="1"/>
  <c r="H233" i="1"/>
  <c r="G233" i="1"/>
  <c r="M233" i="1"/>
  <c r="H234" i="1"/>
  <c r="G234" i="1"/>
  <c r="M234" i="1"/>
  <c r="H235" i="1"/>
  <c r="G235" i="1"/>
  <c r="M235" i="1"/>
  <c r="H236" i="1"/>
  <c r="G236" i="1"/>
  <c r="M236" i="1"/>
  <c r="H237" i="1"/>
  <c r="G237" i="1"/>
  <c r="M237" i="1"/>
  <c r="H238" i="1"/>
  <c r="G238" i="1"/>
  <c r="M238" i="1"/>
  <c r="H239" i="1"/>
  <c r="G239" i="1"/>
  <c r="M239" i="1"/>
  <c r="H240" i="1"/>
  <c r="G240" i="1"/>
  <c r="M240" i="1"/>
  <c r="H241" i="1"/>
  <c r="G241" i="1"/>
  <c r="M241" i="1"/>
  <c r="H242" i="1"/>
  <c r="G242" i="1"/>
  <c r="M242" i="1"/>
  <c r="H243" i="1"/>
  <c r="G243" i="1"/>
  <c r="M243" i="1"/>
  <c r="H244" i="1"/>
  <c r="G244" i="1"/>
  <c r="M244" i="1"/>
  <c r="H245" i="1"/>
  <c r="G245" i="1"/>
  <c r="M245" i="1"/>
  <c r="H246" i="1"/>
  <c r="G246" i="1"/>
  <c r="M246" i="1"/>
  <c r="H247" i="1"/>
  <c r="G247" i="1"/>
  <c r="M247" i="1"/>
  <c r="H248" i="1"/>
  <c r="G248" i="1"/>
  <c r="M248" i="1"/>
  <c r="H249" i="1"/>
  <c r="G249" i="1"/>
  <c r="M249" i="1"/>
  <c r="H250" i="1"/>
  <c r="G250" i="1"/>
  <c r="M250" i="1"/>
  <c r="H251" i="1"/>
  <c r="G251" i="1"/>
  <c r="M251" i="1"/>
  <c r="H252" i="1"/>
  <c r="G252" i="1"/>
  <c r="M252" i="1"/>
  <c r="H253" i="1"/>
  <c r="G253" i="1"/>
  <c r="M253" i="1"/>
  <c r="H254" i="1"/>
  <c r="G254" i="1"/>
  <c r="M254" i="1"/>
  <c r="H255" i="1"/>
  <c r="G255" i="1"/>
  <c r="M255" i="1"/>
  <c r="H256" i="1"/>
  <c r="G256" i="1"/>
  <c r="M256" i="1"/>
  <c r="H257" i="1"/>
  <c r="G257" i="1"/>
  <c r="M257" i="1"/>
  <c r="H258" i="1"/>
  <c r="G258" i="1"/>
  <c r="M258" i="1"/>
  <c r="H259" i="1"/>
  <c r="G259" i="1"/>
  <c r="M259" i="1"/>
  <c r="H260" i="1"/>
  <c r="G260" i="1"/>
  <c r="M260" i="1"/>
  <c r="H261" i="1"/>
  <c r="G261" i="1"/>
  <c r="M261" i="1"/>
  <c r="H262" i="1"/>
  <c r="G262" i="1"/>
  <c r="M262" i="1"/>
  <c r="H263" i="1"/>
  <c r="G263" i="1"/>
  <c r="M263" i="1"/>
  <c r="H264" i="1"/>
  <c r="G264" i="1"/>
  <c r="M264" i="1"/>
  <c r="H265" i="1"/>
  <c r="G265" i="1"/>
  <c r="M265" i="1"/>
  <c r="H266" i="1"/>
  <c r="G266" i="1"/>
  <c r="M266" i="1"/>
  <c r="H267" i="1"/>
  <c r="G267" i="1"/>
  <c r="M267" i="1"/>
  <c r="H268" i="1"/>
  <c r="G268" i="1"/>
  <c r="M268" i="1"/>
  <c r="H269" i="1"/>
  <c r="G269" i="1"/>
  <c r="M269" i="1"/>
  <c r="H270" i="1"/>
  <c r="G270" i="1"/>
  <c r="M270" i="1"/>
  <c r="H271" i="1"/>
  <c r="G271" i="1"/>
  <c r="M271" i="1"/>
  <c r="H272" i="1"/>
  <c r="G272" i="1"/>
  <c r="M272" i="1"/>
  <c r="H273" i="1"/>
  <c r="G273" i="1"/>
  <c r="M273" i="1"/>
  <c r="H274" i="1"/>
  <c r="G274" i="1"/>
  <c r="M274" i="1"/>
  <c r="H275" i="1"/>
  <c r="G275" i="1"/>
  <c r="M275" i="1"/>
  <c r="H276" i="1"/>
  <c r="G276" i="1"/>
  <c r="M276" i="1"/>
  <c r="H277" i="1"/>
  <c r="G277" i="1"/>
  <c r="M277" i="1"/>
  <c r="H278" i="1"/>
  <c r="G278" i="1"/>
  <c r="M278" i="1"/>
  <c r="H279" i="1"/>
  <c r="G279" i="1"/>
  <c r="M279" i="1"/>
  <c r="H280" i="1"/>
  <c r="G280" i="1"/>
  <c r="M280" i="1"/>
  <c r="H281" i="1"/>
  <c r="G281" i="1"/>
  <c r="M281" i="1"/>
  <c r="H282" i="1"/>
  <c r="G282" i="1"/>
  <c r="M282" i="1"/>
  <c r="H283" i="1"/>
  <c r="G283" i="1"/>
  <c r="M283" i="1"/>
  <c r="H284" i="1"/>
  <c r="G284" i="1"/>
  <c r="M284" i="1"/>
  <c r="H285" i="1"/>
  <c r="G285" i="1"/>
  <c r="M285" i="1"/>
  <c r="H286" i="1"/>
  <c r="G286" i="1"/>
  <c r="M286" i="1"/>
  <c r="H287" i="1"/>
  <c r="G287" i="1"/>
  <c r="M287" i="1"/>
  <c r="H288" i="1"/>
  <c r="G288" i="1"/>
  <c r="M288" i="1"/>
  <c r="H289" i="1"/>
  <c r="G289" i="1"/>
  <c r="M289" i="1"/>
  <c r="H290" i="1"/>
  <c r="G290" i="1"/>
  <c r="M290" i="1"/>
  <c r="H291" i="1"/>
  <c r="G291" i="1"/>
  <c r="M291" i="1"/>
  <c r="H292" i="1"/>
  <c r="G292" i="1"/>
  <c r="M292" i="1"/>
  <c r="H293" i="1"/>
  <c r="G293" i="1"/>
  <c r="M293" i="1"/>
  <c r="H294" i="1"/>
  <c r="G294" i="1"/>
  <c r="M294" i="1"/>
  <c r="H295" i="1"/>
  <c r="G295" i="1"/>
  <c r="M295" i="1"/>
  <c r="H296" i="1"/>
  <c r="G296" i="1"/>
  <c r="M296" i="1"/>
  <c r="H297" i="1"/>
  <c r="G297" i="1"/>
  <c r="M297" i="1"/>
  <c r="H298" i="1"/>
  <c r="G298" i="1"/>
  <c r="M298" i="1"/>
  <c r="H299" i="1"/>
  <c r="G299" i="1"/>
  <c r="M299" i="1"/>
  <c r="H300" i="1"/>
  <c r="G300" i="1"/>
  <c r="M300" i="1"/>
  <c r="H301" i="1"/>
  <c r="G301" i="1"/>
  <c r="M301" i="1"/>
  <c r="H302" i="1"/>
  <c r="G302" i="1"/>
  <c r="M302" i="1"/>
  <c r="O302" i="1"/>
  <c r="H303" i="1"/>
  <c r="G303" i="1"/>
  <c r="M303" i="1"/>
  <c r="H304" i="1"/>
  <c r="G304" i="1"/>
  <c r="M304" i="1"/>
  <c r="H305" i="1"/>
  <c r="G305" i="1"/>
  <c r="M305" i="1"/>
  <c r="H306" i="1"/>
  <c r="G306" i="1"/>
  <c r="M306" i="1"/>
  <c r="H307" i="1"/>
  <c r="G307" i="1"/>
  <c r="M307" i="1"/>
  <c r="H308" i="1"/>
  <c r="G308" i="1"/>
  <c r="M308" i="1"/>
  <c r="H309" i="1"/>
  <c r="G309" i="1"/>
  <c r="M309" i="1"/>
  <c r="H310" i="1"/>
  <c r="G310" i="1"/>
  <c r="M310" i="1"/>
  <c r="O310" i="1"/>
  <c r="O318" i="1"/>
  <c r="O326" i="1"/>
  <c r="H311" i="1"/>
  <c r="G311" i="1"/>
  <c r="M311" i="1"/>
  <c r="H312" i="1"/>
  <c r="G312" i="1"/>
  <c r="M312" i="1"/>
  <c r="H313" i="1"/>
  <c r="G313" i="1"/>
  <c r="M313" i="1"/>
  <c r="H314" i="1"/>
  <c r="G314" i="1"/>
  <c r="M314" i="1"/>
  <c r="H315" i="1"/>
  <c r="G315" i="1"/>
  <c r="M315" i="1"/>
  <c r="H316" i="1"/>
  <c r="G316" i="1"/>
  <c r="M316" i="1"/>
  <c r="H317" i="1"/>
  <c r="G317" i="1"/>
  <c r="M317" i="1"/>
  <c r="H318" i="1"/>
  <c r="G318" i="1"/>
  <c r="M318" i="1"/>
  <c r="H319" i="1"/>
  <c r="G319" i="1"/>
  <c r="M319" i="1"/>
  <c r="H320" i="1"/>
  <c r="G320" i="1"/>
  <c r="M320" i="1"/>
  <c r="H321" i="1"/>
  <c r="G321" i="1"/>
  <c r="M321" i="1"/>
  <c r="H322" i="1"/>
  <c r="G322" i="1"/>
  <c r="M322" i="1"/>
  <c r="H323" i="1"/>
  <c r="G323" i="1"/>
  <c r="M323" i="1"/>
  <c r="H324" i="1"/>
  <c r="G324" i="1"/>
  <c r="M324" i="1"/>
  <c r="H325" i="1"/>
  <c r="G325" i="1"/>
  <c r="M325" i="1"/>
  <c r="H326" i="1"/>
  <c r="G326" i="1"/>
  <c r="M326" i="1"/>
  <c r="H327" i="1"/>
  <c r="G327" i="1"/>
  <c r="M327" i="1"/>
  <c r="H328" i="1"/>
  <c r="G328" i="1"/>
  <c r="M328" i="1"/>
  <c r="H329" i="1"/>
  <c r="G329" i="1"/>
  <c r="M329" i="1"/>
  <c r="H330" i="1"/>
  <c r="G330" i="1"/>
  <c r="M330" i="1"/>
  <c r="H331" i="1"/>
  <c r="G331" i="1"/>
  <c r="M331" i="1"/>
  <c r="H332" i="1"/>
  <c r="G332" i="1"/>
  <c r="M332" i="1"/>
  <c r="H333" i="1"/>
  <c r="G333" i="1"/>
  <c r="M333" i="1"/>
  <c r="H334" i="1"/>
  <c r="G334" i="1"/>
  <c r="M334" i="1"/>
  <c r="O334" i="1"/>
  <c r="H335" i="1"/>
  <c r="G335" i="1"/>
  <c r="M335" i="1"/>
  <c r="H336" i="1"/>
  <c r="G336" i="1"/>
  <c r="M336" i="1"/>
  <c r="H337" i="1"/>
  <c r="G337" i="1"/>
  <c r="M337" i="1"/>
  <c r="H338" i="1"/>
  <c r="G338" i="1"/>
  <c r="M338" i="1"/>
  <c r="H339" i="1"/>
  <c r="G339" i="1"/>
  <c r="M339" i="1"/>
  <c r="H340" i="1"/>
  <c r="G340" i="1"/>
  <c r="M340" i="1"/>
  <c r="H341" i="1"/>
  <c r="G341" i="1"/>
  <c r="M341" i="1"/>
  <c r="H342" i="1"/>
  <c r="G342" i="1"/>
  <c r="M342" i="1"/>
  <c r="O342" i="1"/>
  <c r="O350" i="1"/>
  <c r="O358" i="1"/>
  <c r="O366" i="1"/>
  <c r="O374" i="1"/>
  <c r="O382" i="1"/>
  <c r="O390" i="1"/>
  <c r="O398" i="1"/>
  <c r="O406" i="1"/>
  <c r="O414" i="1"/>
  <c r="O422" i="1"/>
  <c r="O430" i="1"/>
  <c r="O438" i="1"/>
  <c r="O446" i="1"/>
  <c r="O454" i="1"/>
  <c r="O462" i="1"/>
  <c r="O470" i="1"/>
  <c r="O478" i="1"/>
  <c r="H343" i="1"/>
  <c r="G343" i="1"/>
  <c r="M343" i="1"/>
  <c r="H344" i="1"/>
  <c r="G344" i="1"/>
  <c r="M344" i="1"/>
  <c r="H345" i="1"/>
  <c r="G345" i="1"/>
  <c r="M345" i="1"/>
  <c r="H346" i="1"/>
  <c r="G346" i="1"/>
  <c r="M346" i="1"/>
  <c r="H347" i="1"/>
  <c r="G347" i="1"/>
  <c r="M347" i="1"/>
  <c r="H348" i="1"/>
  <c r="G348" i="1"/>
  <c r="M348" i="1"/>
  <c r="H349" i="1"/>
  <c r="G349" i="1"/>
  <c r="M349" i="1"/>
  <c r="H350" i="1"/>
  <c r="G350" i="1"/>
  <c r="M350" i="1"/>
  <c r="H351" i="1"/>
  <c r="G351" i="1"/>
  <c r="M351" i="1"/>
  <c r="H352" i="1"/>
  <c r="G352" i="1"/>
  <c r="M352" i="1"/>
  <c r="H353" i="1"/>
  <c r="G353" i="1"/>
  <c r="M353" i="1"/>
  <c r="H354" i="1"/>
  <c r="G354" i="1"/>
  <c r="M354" i="1"/>
  <c r="H355" i="1"/>
  <c r="G355" i="1"/>
  <c r="M355" i="1"/>
  <c r="H356" i="1"/>
  <c r="G356" i="1"/>
  <c r="M356" i="1"/>
  <c r="H357" i="1"/>
  <c r="G357" i="1"/>
  <c r="M357" i="1"/>
  <c r="H358" i="1"/>
  <c r="G358" i="1"/>
  <c r="M358" i="1"/>
  <c r="H359" i="1"/>
  <c r="G359" i="1"/>
  <c r="M359" i="1"/>
  <c r="H360" i="1"/>
  <c r="G360" i="1"/>
  <c r="M360" i="1"/>
  <c r="H361" i="1"/>
  <c r="G361" i="1"/>
  <c r="M361" i="1"/>
  <c r="H362" i="1"/>
  <c r="G362" i="1"/>
  <c r="M362" i="1"/>
  <c r="H363" i="1"/>
  <c r="G363" i="1"/>
  <c r="M363" i="1"/>
  <c r="H364" i="1"/>
  <c r="G364" i="1"/>
  <c r="M364" i="1"/>
  <c r="H365" i="1"/>
  <c r="G365" i="1"/>
  <c r="M365" i="1"/>
  <c r="H366" i="1"/>
  <c r="G366" i="1"/>
  <c r="M366" i="1"/>
  <c r="H367" i="1"/>
  <c r="G367" i="1"/>
  <c r="M367" i="1"/>
  <c r="H368" i="1"/>
  <c r="G368" i="1"/>
  <c r="M368" i="1"/>
  <c r="H369" i="1"/>
  <c r="G369" i="1"/>
  <c r="M369" i="1"/>
  <c r="H370" i="1"/>
  <c r="G370" i="1"/>
  <c r="M370" i="1"/>
  <c r="H371" i="1"/>
  <c r="G371" i="1"/>
  <c r="M371" i="1"/>
  <c r="H372" i="1"/>
  <c r="G372" i="1"/>
  <c r="M372" i="1"/>
  <c r="H373" i="1"/>
  <c r="G373" i="1"/>
  <c r="M373" i="1"/>
  <c r="H374" i="1"/>
  <c r="G374" i="1"/>
  <c r="M374" i="1"/>
  <c r="H375" i="1"/>
  <c r="G375" i="1"/>
  <c r="M375" i="1"/>
  <c r="H376" i="1"/>
  <c r="G376" i="1"/>
  <c r="M376" i="1"/>
  <c r="H377" i="1"/>
  <c r="G377" i="1"/>
  <c r="M377" i="1"/>
  <c r="H378" i="1"/>
  <c r="G378" i="1"/>
  <c r="M378" i="1"/>
  <c r="H379" i="1"/>
  <c r="G379" i="1"/>
  <c r="M379" i="1"/>
  <c r="H380" i="1"/>
  <c r="G380" i="1"/>
  <c r="M380" i="1"/>
  <c r="H381" i="1"/>
  <c r="G381" i="1"/>
  <c r="M381" i="1"/>
  <c r="H382" i="1"/>
  <c r="G382" i="1"/>
  <c r="M382" i="1"/>
  <c r="H383" i="1"/>
  <c r="G383" i="1"/>
  <c r="M383" i="1"/>
  <c r="H384" i="1"/>
  <c r="G384" i="1"/>
  <c r="M384" i="1"/>
  <c r="H385" i="1"/>
  <c r="G385" i="1"/>
  <c r="M385" i="1"/>
  <c r="H386" i="1"/>
  <c r="G386" i="1"/>
  <c r="M386" i="1"/>
  <c r="H387" i="1"/>
  <c r="G387" i="1"/>
  <c r="M387" i="1"/>
  <c r="H388" i="1"/>
  <c r="G388" i="1"/>
  <c r="M388" i="1"/>
  <c r="H389" i="1"/>
  <c r="G389" i="1"/>
  <c r="M389" i="1"/>
  <c r="H390" i="1"/>
  <c r="G390" i="1"/>
  <c r="M390" i="1"/>
  <c r="H391" i="1"/>
  <c r="G391" i="1"/>
  <c r="M391" i="1"/>
  <c r="H392" i="1"/>
  <c r="G392" i="1"/>
  <c r="M392" i="1"/>
  <c r="H393" i="1"/>
  <c r="G393" i="1"/>
  <c r="M393" i="1"/>
  <c r="H394" i="1"/>
  <c r="G394" i="1"/>
  <c r="M394" i="1"/>
  <c r="H395" i="1"/>
  <c r="G395" i="1"/>
  <c r="M395" i="1"/>
  <c r="H396" i="1"/>
  <c r="G396" i="1"/>
  <c r="M396" i="1"/>
  <c r="H397" i="1"/>
  <c r="G397" i="1"/>
  <c r="M397" i="1"/>
  <c r="H398" i="1"/>
  <c r="G398" i="1"/>
  <c r="M398" i="1"/>
  <c r="H399" i="1"/>
  <c r="G399" i="1"/>
  <c r="M399" i="1"/>
  <c r="H400" i="1"/>
  <c r="G400" i="1"/>
  <c r="M400" i="1"/>
  <c r="H401" i="1"/>
  <c r="G401" i="1"/>
  <c r="M401" i="1"/>
  <c r="H402" i="1"/>
  <c r="G402" i="1"/>
  <c r="M402" i="1"/>
  <c r="H403" i="1"/>
  <c r="G403" i="1"/>
  <c r="M403" i="1"/>
  <c r="H404" i="1"/>
  <c r="G404" i="1"/>
  <c r="M404" i="1"/>
  <c r="H405" i="1"/>
  <c r="G405" i="1"/>
  <c r="M405" i="1"/>
  <c r="H406" i="1"/>
  <c r="G406" i="1"/>
  <c r="M406" i="1"/>
  <c r="H407" i="1"/>
  <c r="G407" i="1"/>
  <c r="M407" i="1"/>
  <c r="H408" i="1"/>
  <c r="G408" i="1"/>
  <c r="M408" i="1"/>
  <c r="H409" i="1"/>
  <c r="G409" i="1"/>
  <c r="M409" i="1"/>
  <c r="H410" i="1"/>
  <c r="G410" i="1"/>
  <c r="M410" i="1"/>
  <c r="H411" i="1"/>
  <c r="G411" i="1"/>
  <c r="M411" i="1"/>
  <c r="H412" i="1"/>
  <c r="G412" i="1"/>
  <c r="M412" i="1"/>
  <c r="H413" i="1"/>
  <c r="G413" i="1"/>
  <c r="M413" i="1"/>
  <c r="H414" i="1"/>
  <c r="G414" i="1"/>
  <c r="M414" i="1"/>
  <c r="H415" i="1"/>
  <c r="G415" i="1"/>
  <c r="M415" i="1"/>
  <c r="H416" i="1"/>
  <c r="G416" i="1"/>
  <c r="M416" i="1"/>
  <c r="H417" i="1"/>
  <c r="G417" i="1"/>
  <c r="M417" i="1"/>
  <c r="H418" i="1"/>
  <c r="G418" i="1"/>
  <c r="M418" i="1"/>
  <c r="H419" i="1"/>
  <c r="G419" i="1"/>
  <c r="M419" i="1"/>
  <c r="H420" i="1"/>
  <c r="G420" i="1"/>
  <c r="M420" i="1"/>
  <c r="H421" i="1"/>
  <c r="G421" i="1"/>
  <c r="M421" i="1"/>
  <c r="H422" i="1"/>
  <c r="G422" i="1"/>
  <c r="M422" i="1"/>
  <c r="H423" i="1"/>
  <c r="G423" i="1"/>
  <c r="M423" i="1"/>
  <c r="H424" i="1"/>
  <c r="G424" i="1"/>
  <c r="M424" i="1"/>
  <c r="H425" i="1"/>
  <c r="G425" i="1"/>
  <c r="M425" i="1"/>
  <c r="H426" i="1"/>
  <c r="G426" i="1"/>
  <c r="M426" i="1"/>
  <c r="H427" i="1"/>
  <c r="G427" i="1"/>
  <c r="M427" i="1"/>
  <c r="H428" i="1"/>
  <c r="G428" i="1"/>
  <c r="M428" i="1"/>
  <c r="H429" i="1"/>
  <c r="G429" i="1"/>
  <c r="M429" i="1"/>
  <c r="H430" i="1"/>
  <c r="G430" i="1"/>
  <c r="M430" i="1"/>
  <c r="H431" i="1"/>
  <c r="G431" i="1"/>
  <c r="M431" i="1"/>
  <c r="H432" i="1"/>
  <c r="G432" i="1"/>
  <c r="M432" i="1"/>
  <c r="H433" i="1"/>
  <c r="G433" i="1"/>
  <c r="M433" i="1"/>
  <c r="H434" i="1"/>
  <c r="G434" i="1"/>
  <c r="M434" i="1"/>
  <c r="H435" i="1"/>
  <c r="G435" i="1"/>
  <c r="M435" i="1"/>
  <c r="H436" i="1"/>
  <c r="G436" i="1"/>
  <c r="M436" i="1"/>
  <c r="H437" i="1"/>
  <c r="G437" i="1"/>
  <c r="M437" i="1"/>
  <c r="H438" i="1"/>
  <c r="G438" i="1"/>
  <c r="M438" i="1"/>
  <c r="H439" i="1"/>
  <c r="G439" i="1"/>
  <c r="M439" i="1"/>
  <c r="H440" i="1"/>
  <c r="G440" i="1"/>
  <c r="M440" i="1"/>
  <c r="H441" i="1"/>
  <c r="G441" i="1"/>
  <c r="M441" i="1"/>
  <c r="H442" i="1"/>
  <c r="G442" i="1"/>
  <c r="M442" i="1"/>
  <c r="H443" i="1"/>
  <c r="G443" i="1"/>
  <c r="M443" i="1"/>
  <c r="H444" i="1"/>
  <c r="G444" i="1"/>
  <c r="M444" i="1"/>
  <c r="H445" i="1"/>
  <c r="G445" i="1"/>
  <c r="M445" i="1"/>
  <c r="H446" i="1"/>
  <c r="G446" i="1"/>
  <c r="M446" i="1"/>
  <c r="H447" i="1"/>
  <c r="G447" i="1"/>
  <c r="M447" i="1"/>
  <c r="H448" i="1"/>
  <c r="G448" i="1"/>
  <c r="M448" i="1"/>
  <c r="H449" i="1"/>
  <c r="G449" i="1"/>
  <c r="M449" i="1"/>
  <c r="H450" i="1"/>
  <c r="G450" i="1"/>
  <c r="M450" i="1"/>
  <c r="H451" i="1"/>
  <c r="G451" i="1"/>
  <c r="M451" i="1"/>
  <c r="H452" i="1"/>
  <c r="G452" i="1"/>
  <c r="M452" i="1"/>
  <c r="H453" i="1"/>
  <c r="G453" i="1"/>
  <c r="M453" i="1"/>
  <c r="H454" i="1"/>
  <c r="G454" i="1"/>
  <c r="M454" i="1"/>
  <c r="H455" i="1"/>
  <c r="G455" i="1"/>
  <c r="M455" i="1"/>
  <c r="H456" i="1"/>
  <c r="G456" i="1"/>
  <c r="M456" i="1"/>
  <c r="H457" i="1"/>
  <c r="G457" i="1"/>
  <c r="M457" i="1"/>
  <c r="H458" i="1"/>
  <c r="G458" i="1"/>
  <c r="M458" i="1"/>
  <c r="H459" i="1"/>
  <c r="G459" i="1"/>
  <c r="M459" i="1"/>
  <c r="H460" i="1"/>
  <c r="G460" i="1"/>
  <c r="M460" i="1"/>
  <c r="H461" i="1"/>
  <c r="G461" i="1"/>
  <c r="M461" i="1"/>
  <c r="H462" i="1"/>
  <c r="G462" i="1"/>
  <c r="M462" i="1"/>
  <c r="H463" i="1"/>
  <c r="G463" i="1"/>
  <c r="M463" i="1"/>
  <c r="H464" i="1"/>
  <c r="G464" i="1"/>
  <c r="M464" i="1"/>
  <c r="H465" i="1"/>
  <c r="G465" i="1"/>
  <c r="M465" i="1"/>
  <c r="H466" i="1"/>
  <c r="G466" i="1"/>
  <c r="M466" i="1"/>
  <c r="H467" i="1"/>
  <c r="G467" i="1"/>
  <c r="M467" i="1"/>
  <c r="H468" i="1"/>
  <c r="G468" i="1"/>
  <c r="M468" i="1"/>
  <c r="H469" i="1"/>
  <c r="G469" i="1"/>
  <c r="M469" i="1"/>
  <c r="H470" i="1"/>
  <c r="G470" i="1"/>
  <c r="M470" i="1"/>
  <c r="H471" i="1"/>
  <c r="G471" i="1"/>
  <c r="M471" i="1"/>
  <c r="H472" i="1"/>
  <c r="G472" i="1"/>
  <c r="M472" i="1"/>
  <c r="H473" i="1"/>
  <c r="G473" i="1"/>
  <c r="M473" i="1"/>
  <c r="H474" i="1"/>
  <c r="G474" i="1"/>
  <c r="M474" i="1"/>
  <c r="H475" i="1"/>
  <c r="G475" i="1"/>
  <c r="M475" i="1"/>
  <c r="H476" i="1"/>
  <c r="G476" i="1"/>
  <c r="M476" i="1"/>
  <c r="H477" i="1"/>
  <c r="G477" i="1"/>
  <c r="M477" i="1"/>
  <c r="H478" i="1"/>
  <c r="G478" i="1"/>
  <c r="M478" i="1"/>
  <c r="H479" i="1"/>
  <c r="G479" i="1"/>
  <c r="M479" i="1"/>
  <c r="H480" i="1"/>
  <c r="G480" i="1"/>
  <c r="M480" i="1"/>
  <c r="H481" i="1"/>
  <c r="G481" i="1"/>
  <c r="M481" i="1"/>
  <c r="H482" i="1"/>
  <c r="G482" i="1"/>
  <c r="M482" i="1"/>
  <c r="H483" i="1"/>
  <c r="G483" i="1"/>
  <c r="M483" i="1"/>
  <c r="H484" i="1"/>
  <c r="G484" i="1"/>
  <c r="M484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13" i="1"/>
  <c r="I221" i="1"/>
  <c r="I229" i="1"/>
  <c r="I237" i="1"/>
  <c r="I245" i="1"/>
  <c r="I253" i="1"/>
  <c r="I261" i="1"/>
  <c r="I269" i="1"/>
  <c r="I277" i="1"/>
  <c r="I285" i="1"/>
  <c r="I293" i="1"/>
  <c r="I301" i="1"/>
  <c r="I309" i="1"/>
  <c r="I317" i="1"/>
  <c r="I325" i="1"/>
  <c r="I333" i="1"/>
  <c r="I341" i="1"/>
  <c r="I349" i="1"/>
  <c r="I357" i="1"/>
  <c r="I365" i="1"/>
  <c r="I373" i="1"/>
  <c r="I381" i="1"/>
  <c r="I389" i="1"/>
  <c r="I397" i="1"/>
  <c r="I405" i="1"/>
  <c r="I413" i="1"/>
  <c r="I421" i="1"/>
  <c r="I429" i="1"/>
  <c r="I437" i="1"/>
  <c r="I445" i="1"/>
  <c r="I453" i="1"/>
  <c r="I461" i="1"/>
  <c r="I469" i="1"/>
  <c r="I477" i="1"/>
  <c r="I485" i="1"/>
  <c r="J485" i="1"/>
  <c r="H485" i="1"/>
  <c r="G485" i="1"/>
  <c r="M485" i="1"/>
  <c r="S485" i="1"/>
  <c r="S125" i="1"/>
  <c r="J125" i="1"/>
  <c r="N125" i="1"/>
  <c r="M125" i="1"/>
  <c r="I112" i="1"/>
  <c r="I120" i="1"/>
  <c r="I128" i="1"/>
  <c r="I136" i="1"/>
  <c r="I144" i="1"/>
  <c r="I152" i="1"/>
  <c r="I160" i="1"/>
  <c r="I168" i="1"/>
  <c r="I176" i="1"/>
  <c r="I184" i="1"/>
  <c r="I192" i="1"/>
  <c r="I113" i="1"/>
  <c r="I121" i="1"/>
  <c r="I129" i="1"/>
  <c r="I114" i="1"/>
  <c r="I122" i="1"/>
  <c r="I130" i="1"/>
  <c r="I115" i="1"/>
  <c r="I123" i="1"/>
  <c r="I131" i="1"/>
  <c r="I116" i="1"/>
  <c r="I124" i="1"/>
  <c r="I132" i="1"/>
  <c r="I134" i="1"/>
  <c r="I135" i="1"/>
  <c r="I137" i="1"/>
  <c r="I140" i="1"/>
  <c r="I148" i="1"/>
  <c r="I142" i="1"/>
  <c r="I143" i="1"/>
  <c r="D143" i="1"/>
  <c r="I150" i="1"/>
  <c r="D125" i="1"/>
  <c r="F125" i="1"/>
  <c r="E125" i="1"/>
  <c r="D126" i="1"/>
  <c r="F126" i="1"/>
  <c r="E126" i="1"/>
  <c r="D127" i="1"/>
  <c r="F127" i="1"/>
  <c r="E127" i="1"/>
  <c r="D128" i="1"/>
  <c r="F128" i="1"/>
  <c r="E128" i="1"/>
  <c r="D129" i="1"/>
  <c r="F129" i="1"/>
  <c r="E129" i="1"/>
  <c r="F130" i="1"/>
  <c r="E130" i="1"/>
  <c r="D131" i="1"/>
  <c r="D132" i="1"/>
  <c r="F132" i="1"/>
  <c r="E132" i="1"/>
  <c r="D133" i="1"/>
  <c r="F133" i="1"/>
  <c r="E133" i="1"/>
  <c r="D134" i="1"/>
  <c r="F134" i="1"/>
  <c r="E134" i="1"/>
  <c r="D135" i="1"/>
  <c r="F135" i="1"/>
  <c r="E135" i="1"/>
  <c r="D136" i="1"/>
  <c r="F136" i="1"/>
  <c r="E136" i="1"/>
  <c r="D137" i="1"/>
  <c r="F137" i="1"/>
  <c r="E137" i="1"/>
  <c r="D140" i="1"/>
  <c r="F140" i="1"/>
  <c r="E140" i="1"/>
  <c r="D141" i="1"/>
  <c r="F141" i="1"/>
  <c r="E141" i="1"/>
  <c r="D142" i="1"/>
  <c r="F142" i="1"/>
  <c r="E142" i="1"/>
  <c r="F143" i="1"/>
  <c r="E143" i="1"/>
  <c r="D144" i="1"/>
  <c r="F144" i="1"/>
  <c r="E144" i="1"/>
  <c r="F148" i="1"/>
  <c r="E148" i="1"/>
  <c r="D149" i="1"/>
  <c r="F149" i="1"/>
  <c r="E149" i="1"/>
  <c r="D150" i="1"/>
  <c r="F150" i="1"/>
  <c r="E150" i="1"/>
  <c r="D152" i="1"/>
  <c r="F152" i="1"/>
  <c r="E152" i="1"/>
  <c r="F157" i="1"/>
  <c r="E157" i="1"/>
  <c r="D160" i="1"/>
  <c r="F160" i="1"/>
  <c r="E160" i="1"/>
  <c r="D168" i="1"/>
  <c r="F168" i="1"/>
  <c r="E168" i="1"/>
  <c r="D176" i="1"/>
  <c r="F176" i="1"/>
  <c r="E176" i="1"/>
  <c r="D184" i="1"/>
  <c r="F192" i="1"/>
  <c r="E192" i="1"/>
  <c r="J128" i="1"/>
  <c r="K128" i="1"/>
  <c r="N128" i="1"/>
  <c r="K126" i="1"/>
  <c r="P126" i="1"/>
  <c r="Q126" i="1"/>
  <c r="N126" i="1"/>
  <c r="P128" i="1"/>
  <c r="Q128" i="1"/>
  <c r="L128" i="1"/>
  <c r="S127" i="1"/>
  <c r="K485" i="1"/>
  <c r="L485" i="1"/>
  <c r="N485" i="1"/>
  <c r="L127" i="1"/>
  <c r="P127" i="1"/>
  <c r="Q127" i="1"/>
  <c r="N127" i="1"/>
  <c r="I158" i="1"/>
  <c r="D157" i="1"/>
  <c r="I200" i="1"/>
  <c r="D192" i="1"/>
  <c r="I156" i="1"/>
  <c r="I145" i="1"/>
  <c r="D148" i="1"/>
  <c r="I151" i="1"/>
  <c r="I139" i="1"/>
  <c r="F131" i="1"/>
  <c r="E131" i="1"/>
  <c r="I138" i="1"/>
  <c r="D130" i="1"/>
  <c r="K125" i="1"/>
  <c r="P125" i="1"/>
  <c r="Q125" i="1"/>
  <c r="F184" i="1"/>
  <c r="E184" i="1"/>
  <c r="P485" i="1"/>
  <c r="Q485" i="1"/>
  <c r="J129" i="1"/>
  <c r="S129" i="1"/>
  <c r="L126" i="1"/>
  <c r="I164" i="1"/>
  <c r="D156" i="1"/>
  <c r="F156" i="1"/>
  <c r="E156" i="1"/>
  <c r="I159" i="1"/>
  <c r="D151" i="1"/>
  <c r="F151" i="1"/>
  <c r="E151" i="1"/>
  <c r="I208" i="1"/>
  <c r="F200" i="1"/>
  <c r="E200" i="1"/>
  <c r="D200" i="1"/>
  <c r="D165" i="1"/>
  <c r="F165" i="1"/>
  <c r="E165" i="1"/>
  <c r="I147" i="1"/>
  <c r="D139" i="1"/>
  <c r="F139" i="1"/>
  <c r="E139" i="1"/>
  <c r="F145" i="1"/>
  <c r="E145" i="1"/>
  <c r="I153" i="1"/>
  <c r="D145" i="1"/>
  <c r="I146" i="1"/>
  <c r="D138" i="1"/>
  <c r="F138" i="1"/>
  <c r="E138" i="1"/>
  <c r="L125" i="1"/>
  <c r="D158" i="1"/>
  <c r="I166" i="1"/>
  <c r="F158" i="1"/>
  <c r="E158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AJ114" i="1"/>
  <c r="AJ115" i="1"/>
  <c r="K129" i="1"/>
  <c r="N129" i="1"/>
  <c r="P129" i="1"/>
  <c r="Q129" i="1"/>
  <c r="L129" i="1"/>
  <c r="S130" i="1"/>
  <c r="J130" i="1"/>
  <c r="I161" i="1"/>
  <c r="D153" i="1"/>
  <c r="F153" i="1"/>
  <c r="E153" i="1"/>
  <c r="I154" i="1"/>
  <c r="F146" i="1"/>
  <c r="E146" i="1"/>
  <c r="D146" i="1"/>
  <c r="F147" i="1"/>
  <c r="E147" i="1"/>
  <c r="I155" i="1"/>
  <c r="D147" i="1"/>
  <c r="D173" i="1"/>
  <c r="F173" i="1"/>
  <c r="E173" i="1"/>
  <c r="I172" i="1"/>
  <c r="D164" i="1"/>
  <c r="F164" i="1"/>
  <c r="E164" i="1"/>
  <c r="I174" i="1"/>
  <c r="D166" i="1"/>
  <c r="F166" i="1"/>
  <c r="E166" i="1"/>
  <c r="I167" i="1"/>
  <c r="D159" i="1"/>
  <c r="F159" i="1"/>
  <c r="E159" i="1"/>
  <c r="I216" i="1"/>
  <c r="D208" i="1"/>
  <c r="F208" i="1"/>
  <c r="E208" i="1"/>
  <c r="J7" i="1"/>
  <c r="J9" i="1"/>
  <c r="K9" i="1"/>
  <c r="N9" i="1"/>
  <c r="J10" i="1"/>
  <c r="N10" i="1"/>
  <c r="J11" i="1"/>
  <c r="N11" i="1"/>
  <c r="J12" i="1"/>
  <c r="N12" i="1"/>
  <c r="N8" i="1"/>
  <c r="J13" i="1"/>
  <c r="N13" i="1"/>
  <c r="J14" i="1"/>
  <c r="N1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44" i="1"/>
  <c r="D43" i="1"/>
  <c r="D42" i="1"/>
  <c r="D41" i="1"/>
  <c r="D40" i="1"/>
  <c r="D39" i="1"/>
  <c r="D38" i="1"/>
  <c r="D37" i="1"/>
  <c r="J111" i="1"/>
  <c r="J112" i="1"/>
  <c r="D113" i="1"/>
  <c r="J116" i="1"/>
  <c r="N116" i="1"/>
  <c r="J117" i="1"/>
  <c r="J110" i="1"/>
  <c r="J109" i="1"/>
  <c r="N109" i="1"/>
  <c r="J108" i="1"/>
  <c r="N108" i="1"/>
  <c r="J107" i="1"/>
  <c r="J106" i="1"/>
  <c r="N106" i="1"/>
  <c r="J105" i="1"/>
  <c r="J104" i="1"/>
  <c r="J103" i="1"/>
  <c r="J102" i="1"/>
  <c r="N102" i="1"/>
  <c r="J101" i="1"/>
  <c r="N101" i="1"/>
  <c r="J100" i="1"/>
  <c r="N100" i="1"/>
  <c r="J99" i="1"/>
  <c r="N99" i="1"/>
  <c r="J98" i="1"/>
  <c r="J97" i="1"/>
  <c r="J96" i="1"/>
  <c r="J95" i="1"/>
  <c r="N95" i="1"/>
  <c r="J94" i="1"/>
  <c r="N94" i="1"/>
  <c r="F20" i="1"/>
  <c r="F15" i="1"/>
  <c r="F16" i="1"/>
  <c r="F17" i="1"/>
  <c r="F18" i="1"/>
  <c r="F19" i="1"/>
  <c r="F21" i="1"/>
  <c r="F22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4" i="1"/>
  <c r="J5" i="1"/>
  <c r="J6" i="1"/>
  <c r="J15" i="1"/>
  <c r="J16" i="1"/>
  <c r="J17" i="1"/>
  <c r="J18" i="1"/>
  <c r="J19" i="1"/>
  <c r="C10" i="1"/>
  <c r="K130" i="1"/>
  <c r="P130" i="1"/>
  <c r="Q130" i="1"/>
  <c r="L130" i="1"/>
  <c r="N130" i="1"/>
  <c r="J131" i="1"/>
  <c r="S131" i="1"/>
  <c r="I163" i="1"/>
  <c r="D155" i="1"/>
  <c r="F155" i="1"/>
  <c r="E155" i="1"/>
  <c r="D172" i="1"/>
  <c r="I180" i="1"/>
  <c r="F172" i="1"/>
  <c r="E172" i="1"/>
  <c r="I162" i="1"/>
  <c r="D154" i="1"/>
  <c r="F154" i="1"/>
  <c r="E154" i="1"/>
  <c r="I175" i="1"/>
  <c r="D167" i="1"/>
  <c r="F167" i="1"/>
  <c r="E167" i="1"/>
  <c r="I224" i="1"/>
  <c r="F216" i="1"/>
  <c r="E216" i="1"/>
  <c r="D216" i="1"/>
  <c r="I182" i="1"/>
  <c r="D174" i="1"/>
  <c r="F174" i="1"/>
  <c r="E174" i="1"/>
  <c r="D181" i="1"/>
  <c r="F181" i="1"/>
  <c r="E181" i="1"/>
  <c r="D161" i="1"/>
  <c r="I169" i="1"/>
  <c r="F161" i="1"/>
  <c r="E161" i="1"/>
  <c r="L8" i="1"/>
  <c r="M9" i="1"/>
  <c r="L9" i="1"/>
  <c r="M8" i="1"/>
  <c r="J118" i="1"/>
  <c r="N118" i="1"/>
  <c r="F82" i="1"/>
  <c r="E82" i="1"/>
  <c r="F66" i="1"/>
  <c r="E66" i="1"/>
  <c r="F50" i="1"/>
  <c r="E50" i="1"/>
  <c r="F106" i="1"/>
  <c r="E106" i="1"/>
  <c r="F74" i="1"/>
  <c r="E74" i="1"/>
  <c r="F42" i="1"/>
  <c r="E42" i="1"/>
  <c r="F98" i="1"/>
  <c r="E98" i="1"/>
  <c r="F58" i="1"/>
  <c r="E58" i="1"/>
  <c r="F90" i="1"/>
  <c r="E90" i="1"/>
  <c r="F63" i="1"/>
  <c r="E63" i="1"/>
  <c r="F47" i="1"/>
  <c r="E47" i="1"/>
  <c r="F87" i="1"/>
  <c r="E87" i="1"/>
  <c r="F55" i="1"/>
  <c r="E55" i="1"/>
  <c r="F71" i="1"/>
  <c r="E71" i="1"/>
  <c r="F39" i="1"/>
  <c r="E39" i="1"/>
  <c r="F79" i="1"/>
  <c r="E79" i="1"/>
  <c r="F103" i="1"/>
  <c r="E103" i="1"/>
  <c r="F95" i="1"/>
  <c r="E95" i="1"/>
  <c r="F68" i="1"/>
  <c r="E68" i="1"/>
  <c r="F44" i="1"/>
  <c r="E44" i="1"/>
  <c r="F92" i="1"/>
  <c r="E92" i="1"/>
  <c r="F108" i="1"/>
  <c r="E108" i="1"/>
  <c r="F84" i="1"/>
  <c r="E84" i="1"/>
  <c r="F76" i="1"/>
  <c r="E76" i="1"/>
  <c r="F100" i="1"/>
  <c r="E100" i="1"/>
  <c r="F52" i="1"/>
  <c r="E52" i="1"/>
  <c r="F60" i="1"/>
  <c r="E60" i="1"/>
  <c r="F46" i="1"/>
  <c r="E46" i="1"/>
  <c r="F70" i="1"/>
  <c r="E70" i="1"/>
  <c r="F54" i="1"/>
  <c r="E54" i="1"/>
  <c r="F38" i="1"/>
  <c r="E38" i="1"/>
  <c r="F94" i="1"/>
  <c r="E94" i="1"/>
  <c r="F78" i="1"/>
  <c r="E78" i="1"/>
  <c r="F86" i="1"/>
  <c r="E86" i="1"/>
  <c r="F102" i="1"/>
  <c r="E102" i="1"/>
  <c r="F110" i="1"/>
  <c r="E110" i="1"/>
  <c r="F62" i="1"/>
  <c r="E62" i="1"/>
  <c r="F51" i="1"/>
  <c r="E51" i="1"/>
  <c r="F67" i="1"/>
  <c r="E67" i="1"/>
  <c r="F91" i="1"/>
  <c r="E91" i="1"/>
  <c r="F99" i="1"/>
  <c r="E99" i="1"/>
  <c r="F43" i="1"/>
  <c r="E43" i="1"/>
  <c r="F75" i="1"/>
  <c r="E75" i="1"/>
  <c r="F59" i="1"/>
  <c r="E59" i="1"/>
  <c r="F83" i="1"/>
  <c r="E83" i="1"/>
  <c r="F107" i="1"/>
  <c r="E107" i="1"/>
  <c r="F115" i="1"/>
  <c r="E115" i="1"/>
  <c r="F114" i="1"/>
  <c r="E114" i="1"/>
  <c r="D110" i="1"/>
  <c r="P6" i="1"/>
  <c r="Q6" i="1"/>
  <c r="L5" i="1"/>
  <c r="D117" i="1"/>
  <c r="D116" i="1"/>
  <c r="F121" i="1"/>
  <c r="E121" i="1"/>
  <c r="D115" i="1"/>
  <c r="F122" i="1"/>
  <c r="E122" i="1"/>
  <c r="D114" i="1"/>
  <c r="F123" i="1"/>
  <c r="E123" i="1"/>
  <c r="F124" i="1"/>
  <c r="E124" i="1"/>
  <c r="J113" i="1"/>
  <c r="N113" i="1"/>
  <c r="J114" i="1"/>
  <c r="N114" i="1"/>
  <c r="F116" i="1"/>
  <c r="E116" i="1"/>
  <c r="J115" i="1"/>
  <c r="N115" i="1"/>
  <c r="F111" i="1"/>
  <c r="E111" i="1"/>
  <c r="D112" i="1"/>
  <c r="D111" i="1"/>
  <c r="F73" i="1"/>
  <c r="E73" i="1"/>
  <c r="F105" i="1"/>
  <c r="E105" i="1"/>
  <c r="F89" i="1"/>
  <c r="E89" i="1"/>
  <c r="F65" i="1"/>
  <c r="E65" i="1"/>
  <c r="F41" i="1"/>
  <c r="E41" i="1"/>
  <c r="F81" i="1"/>
  <c r="E81" i="1"/>
  <c r="F57" i="1"/>
  <c r="E57" i="1"/>
  <c r="F49" i="1"/>
  <c r="E49" i="1"/>
  <c r="F113" i="1"/>
  <c r="E113" i="1"/>
  <c r="F97" i="1"/>
  <c r="E97" i="1"/>
  <c r="F101" i="1"/>
  <c r="E101" i="1"/>
  <c r="F93" i="1"/>
  <c r="E93" i="1"/>
  <c r="F69" i="1"/>
  <c r="E69" i="1"/>
  <c r="F45" i="1"/>
  <c r="E45" i="1"/>
  <c r="F53" i="1"/>
  <c r="E53" i="1"/>
  <c r="F109" i="1"/>
  <c r="E109" i="1"/>
  <c r="F85" i="1"/>
  <c r="E85" i="1"/>
  <c r="F77" i="1"/>
  <c r="E77" i="1"/>
  <c r="F37" i="1"/>
  <c r="E37" i="1"/>
  <c r="F117" i="1"/>
  <c r="E117" i="1"/>
  <c r="F61" i="1"/>
  <c r="E61" i="1"/>
  <c r="N112" i="1"/>
  <c r="N111" i="1"/>
  <c r="N117" i="1"/>
  <c r="N110" i="1"/>
  <c r="N107" i="1"/>
  <c r="N103" i="1"/>
  <c r="N104" i="1"/>
  <c r="N105" i="1"/>
  <c r="N96" i="1"/>
  <c r="N98" i="1"/>
  <c r="N97" i="1"/>
  <c r="F23" i="1"/>
  <c r="F24" i="1"/>
  <c r="F48" i="1"/>
  <c r="L4" i="1"/>
  <c r="N6" i="1"/>
  <c r="M4" i="1"/>
  <c r="M5" i="1"/>
  <c r="M6" i="1"/>
  <c r="K131" i="1"/>
  <c r="N131" i="1"/>
  <c r="P131" i="1"/>
  <c r="Q131" i="1"/>
  <c r="L131" i="1"/>
  <c r="J132" i="1"/>
  <c r="S132" i="1"/>
  <c r="I188" i="1"/>
  <c r="D180" i="1"/>
  <c r="F180" i="1"/>
  <c r="E180" i="1"/>
  <c r="I232" i="1"/>
  <c r="F224" i="1"/>
  <c r="E224" i="1"/>
  <c r="D224" i="1"/>
  <c r="I177" i="1"/>
  <c r="D169" i="1"/>
  <c r="F169" i="1"/>
  <c r="E169" i="1"/>
  <c r="D175" i="1"/>
  <c r="F175" i="1"/>
  <c r="E175" i="1"/>
  <c r="I183" i="1"/>
  <c r="F189" i="1"/>
  <c r="E189" i="1"/>
  <c r="D189" i="1"/>
  <c r="I171" i="1"/>
  <c r="F163" i="1"/>
  <c r="E163" i="1"/>
  <c r="D163" i="1"/>
  <c r="I170" i="1"/>
  <c r="D162" i="1"/>
  <c r="F162" i="1"/>
  <c r="E162" i="1"/>
  <c r="F182" i="1"/>
  <c r="E182" i="1"/>
  <c r="I190" i="1"/>
  <c r="D182" i="1"/>
  <c r="M10" i="1"/>
  <c r="K10" i="1"/>
  <c r="L10" i="1"/>
  <c r="P9" i="1"/>
  <c r="Q9" i="1"/>
  <c r="D118" i="1"/>
  <c r="F118" i="1"/>
  <c r="E118" i="1"/>
  <c r="P8" i="1"/>
  <c r="Q8" i="1"/>
  <c r="J122" i="1"/>
  <c r="N122" i="1"/>
  <c r="D122" i="1"/>
  <c r="J124" i="1"/>
  <c r="N124" i="1"/>
  <c r="D124" i="1"/>
  <c r="J121" i="1"/>
  <c r="N121" i="1"/>
  <c r="D121" i="1"/>
  <c r="J120" i="1"/>
  <c r="N120" i="1"/>
  <c r="D120" i="1"/>
  <c r="J123" i="1"/>
  <c r="N123" i="1"/>
  <c r="D123" i="1"/>
  <c r="J119" i="1"/>
  <c r="D119" i="1"/>
  <c r="Z113" i="1"/>
  <c r="F119" i="1"/>
  <c r="E119" i="1"/>
  <c r="F96" i="1"/>
  <c r="E96" i="1"/>
  <c r="F40" i="1"/>
  <c r="E40" i="1"/>
  <c r="F120" i="1"/>
  <c r="E120" i="1"/>
  <c r="F80" i="1"/>
  <c r="E80" i="1"/>
  <c r="F56" i="1"/>
  <c r="E56" i="1"/>
  <c r="F112" i="1"/>
  <c r="E112" i="1"/>
  <c r="F88" i="1"/>
  <c r="E88" i="1"/>
  <c r="F104" i="1"/>
  <c r="E104" i="1"/>
  <c r="F64" i="1"/>
  <c r="E64" i="1"/>
  <c r="F72" i="1"/>
  <c r="E72" i="1"/>
  <c r="E48" i="1"/>
  <c r="P4" i="1"/>
  <c r="Q4" i="1"/>
  <c r="P5" i="1"/>
  <c r="Q5" i="1"/>
  <c r="L6" i="1"/>
  <c r="N7" i="1"/>
  <c r="N132" i="1"/>
  <c r="K132" i="1"/>
  <c r="L132" i="1"/>
  <c r="S133" i="1"/>
  <c r="J133" i="1"/>
  <c r="I198" i="1"/>
  <c r="F190" i="1"/>
  <c r="E190" i="1"/>
  <c r="D190" i="1"/>
  <c r="F171" i="1"/>
  <c r="E171" i="1"/>
  <c r="I179" i="1"/>
  <c r="D171" i="1"/>
  <c r="F177" i="1"/>
  <c r="E177" i="1"/>
  <c r="I185" i="1"/>
  <c r="D177" i="1"/>
  <c r="I240" i="1"/>
  <c r="F232" i="1"/>
  <c r="E232" i="1"/>
  <c r="D232" i="1"/>
  <c r="D197" i="1"/>
  <c r="F197" i="1"/>
  <c r="E197" i="1"/>
  <c r="I178" i="1"/>
  <c r="D170" i="1"/>
  <c r="F170" i="1"/>
  <c r="E170" i="1"/>
  <c r="I191" i="1"/>
  <c r="D183" i="1"/>
  <c r="F183" i="1"/>
  <c r="E183" i="1"/>
  <c r="I196" i="1"/>
  <c r="D188" i="1"/>
  <c r="F188" i="1"/>
  <c r="E188" i="1"/>
  <c r="K11" i="1"/>
  <c r="L11" i="1"/>
  <c r="M11" i="1"/>
  <c r="P10" i="1"/>
  <c r="Q10" i="1"/>
  <c r="N119" i="1"/>
  <c r="P132" i="1"/>
  <c r="Q132" i="1"/>
  <c r="K133" i="1"/>
  <c r="P133" i="1"/>
  <c r="Q133" i="1"/>
  <c r="L133" i="1"/>
  <c r="N133" i="1"/>
  <c r="J134" i="1"/>
  <c r="S134" i="1"/>
  <c r="I248" i="1"/>
  <c r="D240" i="1"/>
  <c r="F240" i="1"/>
  <c r="E240" i="1"/>
  <c r="I199" i="1"/>
  <c r="F191" i="1"/>
  <c r="E191" i="1"/>
  <c r="D191" i="1"/>
  <c r="D185" i="1"/>
  <c r="I193" i="1"/>
  <c r="F185" i="1"/>
  <c r="E185" i="1"/>
  <c r="D205" i="1"/>
  <c r="F205" i="1"/>
  <c r="E205" i="1"/>
  <c r="I187" i="1"/>
  <c r="D179" i="1"/>
  <c r="F179" i="1"/>
  <c r="E179" i="1"/>
  <c r="I186" i="1"/>
  <c r="F178" i="1"/>
  <c r="E178" i="1"/>
  <c r="D178" i="1"/>
  <c r="D196" i="1"/>
  <c r="F196" i="1"/>
  <c r="E196" i="1"/>
  <c r="I204" i="1"/>
  <c r="F198" i="1"/>
  <c r="E198" i="1"/>
  <c r="I206" i="1"/>
  <c r="D198" i="1"/>
  <c r="P11" i="1"/>
  <c r="Q11" i="1"/>
  <c r="K12" i="1"/>
  <c r="L12" i="1"/>
  <c r="M12" i="1"/>
  <c r="M7" i="1"/>
  <c r="L7" i="1"/>
  <c r="J135" i="1"/>
  <c r="S135" i="1"/>
  <c r="K134" i="1"/>
  <c r="L134" i="1"/>
  <c r="N134" i="1"/>
  <c r="F213" i="1"/>
  <c r="E213" i="1"/>
  <c r="D213" i="1"/>
  <c r="D199" i="1"/>
  <c r="I207" i="1"/>
  <c r="F199" i="1"/>
  <c r="E199" i="1"/>
  <c r="D206" i="1"/>
  <c r="F206" i="1"/>
  <c r="E206" i="1"/>
  <c r="I214" i="1"/>
  <c r="I212" i="1"/>
  <c r="F204" i="1"/>
  <c r="E204" i="1"/>
  <c r="D204" i="1"/>
  <c r="D186" i="1"/>
  <c r="I194" i="1"/>
  <c r="F186" i="1"/>
  <c r="E186" i="1"/>
  <c r="I201" i="1"/>
  <c r="F193" i="1"/>
  <c r="E193" i="1"/>
  <c r="D193" i="1"/>
  <c r="I256" i="1"/>
  <c r="D248" i="1"/>
  <c r="F248" i="1"/>
  <c r="E248" i="1"/>
  <c r="F187" i="1"/>
  <c r="E187" i="1"/>
  <c r="I195" i="1"/>
  <c r="D187" i="1"/>
  <c r="P12" i="1"/>
  <c r="Q12" i="1"/>
  <c r="P7" i="1"/>
  <c r="Q7" i="1"/>
  <c r="P134" i="1"/>
  <c r="Q134" i="1"/>
  <c r="K135" i="1"/>
  <c r="L135" i="1"/>
  <c r="N135" i="1"/>
  <c r="P135" i="1"/>
  <c r="Q135" i="1"/>
  <c r="J136" i="1"/>
  <c r="S136" i="1"/>
  <c r="I264" i="1"/>
  <c r="D256" i="1"/>
  <c r="F256" i="1"/>
  <c r="E256" i="1"/>
  <c r="I222" i="1"/>
  <c r="D214" i="1"/>
  <c r="F214" i="1"/>
  <c r="E214" i="1"/>
  <c r="I215" i="1"/>
  <c r="D207" i="1"/>
  <c r="F207" i="1"/>
  <c r="E207" i="1"/>
  <c r="I202" i="1"/>
  <c r="F194" i="1"/>
  <c r="E194" i="1"/>
  <c r="D194" i="1"/>
  <c r="I209" i="1"/>
  <c r="D201" i="1"/>
  <c r="F201" i="1"/>
  <c r="E201" i="1"/>
  <c r="D221" i="1"/>
  <c r="F221" i="1"/>
  <c r="E221" i="1"/>
  <c r="D212" i="1"/>
  <c r="I220" i="1"/>
  <c r="F212" i="1"/>
  <c r="E212" i="1"/>
  <c r="I203" i="1"/>
  <c r="D195" i="1"/>
  <c r="F195" i="1"/>
  <c r="E195" i="1"/>
  <c r="N15" i="1"/>
  <c r="N136" i="1"/>
  <c r="K136" i="1"/>
  <c r="L136" i="1"/>
  <c r="P136" i="1"/>
  <c r="Q136" i="1"/>
  <c r="S137" i="1"/>
  <c r="J137" i="1"/>
  <c r="D215" i="1"/>
  <c r="F215" i="1"/>
  <c r="E215" i="1"/>
  <c r="I223" i="1"/>
  <c r="F203" i="1"/>
  <c r="E203" i="1"/>
  <c r="I211" i="1"/>
  <c r="D203" i="1"/>
  <c r="I210" i="1"/>
  <c r="D202" i="1"/>
  <c r="F202" i="1"/>
  <c r="E202" i="1"/>
  <c r="I230" i="1"/>
  <c r="D222" i="1"/>
  <c r="F222" i="1"/>
  <c r="E222" i="1"/>
  <c r="I272" i="1"/>
  <c r="D264" i="1"/>
  <c r="F264" i="1"/>
  <c r="E264" i="1"/>
  <c r="I228" i="1"/>
  <c r="D220" i="1"/>
  <c r="F220" i="1"/>
  <c r="E220" i="1"/>
  <c r="D229" i="1"/>
  <c r="F229" i="1"/>
  <c r="E229" i="1"/>
  <c r="I217" i="1"/>
  <c r="F209" i="1"/>
  <c r="E209" i="1"/>
  <c r="D209" i="1"/>
  <c r="N16" i="1"/>
  <c r="K137" i="1"/>
  <c r="P137" i="1"/>
  <c r="Q137" i="1"/>
  <c r="L137" i="1"/>
  <c r="N137" i="1"/>
  <c r="J138" i="1"/>
  <c r="S138" i="1"/>
  <c r="I225" i="1"/>
  <c r="D217" i="1"/>
  <c r="F217" i="1"/>
  <c r="E217" i="1"/>
  <c r="I218" i="1"/>
  <c r="D210" i="1"/>
  <c r="F210" i="1"/>
  <c r="E210" i="1"/>
  <c r="D211" i="1"/>
  <c r="I219" i="1"/>
  <c r="F211" i="1"/>
  <c r="E211" i="1"/>
  <c r="I280" i="1"/>
  <c r="F272" i="1"/>
  <c r="E272" i="1"/>
  <c r="D272" i="1"/>
  <c r="D223" i="1"/>
  <c r="I231" i="1"/>
  <c r="F223" i="1"/>
  <c r="E223" i="1"/>
  <c r="F230" i="1"/>
  <c r="E230" i="1"/>
  <c r="I238" i="1"/>
  <c r="D230" i="1"/>
  <c r="D237" i="1"/>
  <c r="F237" i="1"/>
  <c r="E237" i="1"/>
  <c r="D228" i="1"/>
  <c r="F228" i="1"/>
  <c r="E228" i="1"/>
  <c r="I236" i="1"/>
  <c r="M13" i="1"/>
  <c r="K13" i="1"/>
  <c r="L13" i="1"/>
  <c r="N17" i="1"/>
  <c r="J139" i="1"/>
  <c r="S139" i="1"/>
  <c r="K138" i="1"/>
  <c r="N138" i="1"/>
  <c r="P138" i="1"/>
  <c r="Q138" i="1"/>
  <c r="L138" i="1"/>
  <c r="I288" i="1"/>
  <c r="F280" i="1"/>
  <c r="E280" i="1"/>
  <c r="D280" i="1"/>
  <c r="I244" i="1"/>
  <c r="F236" i="1"/>
  <c r="E236" i="1"/>
  <c r="D236" i="1"/>
  <c r="F245" i="1"/>
  <c r="E245" i="1"/>
  <c r="D245" i="1"/>
  <c r="F238" i="1"/>
  <c r="E238" i="1"/>
  <c r="D238" i="1"/>
  <c r="I246" i="1"/>
  <c r="I226" i="1"/>
  <c r="D218" i="1"/>
  <c r="F218" i="1"/>
  <c r="E218" i="1"/>
  <c r="I239" i="1"/>
  <c r="D231" i="1"/>
  <c r="F231" i="1"/>
  <c r="E231" i="1"/>
  <c r="F225" i="1"/>
  <c r="E225" i="1"/>
  <c r="I233" i="1"/>
  <c r="D225" i="1"/>
  <c r="D219" i="1"/>
  <c r="I227" i="1"/>
  <c r="F219" i="1"/>
  <c r="E219" i="1"/>
  <c r="P13" i="1"/>
  <c r="Q13" i="1"/>
  <c r="K14" i="1"/>
  <c r="L14" i="1"/>
  <c r="M14" i="1"/>
  <c r="N18" i="1"/>
  <c r="J140" i="1"/>
  <c r="S140" i="1"/>
  <c r="K139" i="1"/>
  <c r="L139" i="1"/>
  <c r="N139" i="1"/>
  <c r="D253" i="1"/>
  <c r="F253" i="1"/>
  <c r="E253" i="1"/>
  <c r="D233" i="1"/>
  <c r="F233" i="1"/>
  <c r="E233" i="1"/>
  <c r="I241" i="1"/>
  <c r="D244" i="1"/>
  <c r="I252" i="1"/>
  <c r="F244" i="1"/>
  <c r="E244" i="1"/>
  <c r="I235" i="1"/>
  <c r="F227" i="1"/>
  <c r="E227" i="1"/>
  <c r="D227" i="1"/>
  <c r="I234" i="1"/>
  <c r="D226" i="1"/>
  <c r="F226" i="1"/>
  <c r="E226" i="1"/>
  <c r="I296" i="1"/>
  <c r="D288" i="1"/>
  <c r="F288" i="1"/>
  <c r="E288" i="1"/>
  <c r="I247" i="1"/>
  <c r="F239" i="1"/>
  <c r="E239" i="1"/>
  <c r="D239" i="1"/>
  <c r="D246" i="1"/>
  <c r="I254" i="1"/>
  <c r="F246" i="1"/>
  <c r="E246" i="1"/>
  <c r="P14" i="1"/>
  <c r="Q14" i="1"/>
  <c r="N19" i="1"/>
  <c r="P139" i="1"/>
  <c r="Q139" i="1"/>
  <c r="J141" i="1"/>
  <c r="S141" i="1"/>
  <c r="K140" i="1"/>
  <c r="L140" i="1"/>
  <c r="N140" i="1"/>
  <c r="P140" i="1"/>
  <c r="Q140" i="1"/>
  <c r="I243" i="1"/>
  <c r="D235" i="1"/>
  <c r="F235" i="1"/>
  <c r="E235" i="1"/>
  <c r="I255" i="1"/>
  <c r="D247" i="1"/>
  <c r="F247" i="1"/>
  <c r="E247" i="1"/>
  <c r="F241" i="1"/>
  <c r="E241" i="1"/>
  <c r="D241" i="1"/>
  <c r="I249" i="1"/>
  <c r="I260" i="1"/>
  <c r="D252" i="1"/>
  <c r="F252" i="1"/>
  <c r="E252" i="1"/>
  <c r="F296" i="1"/>
  <c r="E296" i="1"/>
  <c r="I304" i="1"/>
  <c r="D296" i="1"/>
  <c r="F261" i="1"/>
  <c r="E261" i="1"/>
  <c r="D261" i="1"/>
  <c r="F254" i="1"/>
  <c r="E254" i="1"/>
  <c r="I262" i="1"/>
  <c r="D254" i="1"/>
  <c r="I242" i="1"/>
  <c r="D234" i="1"/>
  <c r="F234" i="1"/>
  <c r="E234" i="1"/>
  <c r="K15" i="1"/>
  <c r="L15" i="1"/>
  <c r="M15" i="1"/>
  <c r="J142" i="1"/>
  <c r="S142" i="1"/>
  <c r="K141" i="1"/>
  <c r="L141" i="1"/>
  <c r="N141" i="1"/>
  <c r="P141" i="1"/>
  <c r="Q141" i="1"/>
  <c r="I251" i="1"/>
  <c r="F243" i="1"/>
  <c r="E243" i="1"/>
  <c r="D243" i="1"/>
  <c r="I270" i="1"/>
  <c r="D262" i="1"/>
  <c r="F262" i="1"/>
  <c r="E262" i="1"/>
  <c r="I257" i="1"/>
  <c r="D249" i="1"/>
  <c r="F249" i="1"/>
  <c r="E249" i="1"/>
  <c r="F269" i="1"/>
  <c r="E269" i="1"/>
  <c r="D269" i="1"/>
  <c r="I312" i="1"/>
  <c r="F304" i="1"/>
  <c r="E304" i="1"/>
  <c r="D304" i="1"/>
  <c r="F260" i="1"/>
  <c r="E260" i="1"/>
  <c r="D260" i="1"/>
  <c r="I268" i="1"/>
  <c r="I250" i="1"/>
  <c r="D242" i="1"/>
  <c r="F242" i="1"/>
  <c r="E242" i="1"/>
  <c r="D255" i="1"/>
  <c r="I263" i="1"/>
  <c r="F255" i="1"/>
  <c r="E255" i="1"/>
  <c r="P15" i="1"/>
  <c r="Q15" i="1"/>
  <c r="M16" i="1"/>
  <c r="K16" i="1"/>
  <c r="L16" i="1"/>
  <c r="J143" i="1"/>
  <c r="S143" i="1"/>
  <c r="K142" i="1"/>
  <c r="P142" i="1"/>
  <c r="Q142" i="1"/>
  <c r="N142" i="1"/>
  <c r="I320" i="1"/>
  <c r="D312" i="1"/>
  <c r="F312" i="1"/>
  <c r="E312" i="1"/>
  <c r="I271" i="1"/>
  <c r="D263" i="1"/>
  <c r="F263" i="1"/>
  <c r="E263" i="1"/>
  <c r="I258" i="1"/>
  <c r="D250" i="1"/>
  <c r="F250" i="1"/>
  <c r="E250" i="1"/>
  <c r="I259" i="1"/>
  <c r="D251" i="1"/>
  <c r="F251" i="1"/>
  <c r="E251" i="1"/>
  <c r="I276" i="1"/>
  <c r="F268" i="1"/>
  <c r="E268" i="1"/>
  <c r="D268" i="1"/>
  <c r="F270" i="1"/>
  <c r="E270" i="1"/>
  <c r="I278" i="1"/>
  <c r="D270" i="1"/>
  <c r="D277" i="1"/>
  <c r="F277" i="1"/>
  <c r="E277" i="1"/>
  <c r="I265" i="1"/>
  <c r="F257" i="1"/>
  <c r="E257" i="1"/>
  <c r="D257" i="1"/>
  <c r="P16" i="1"/>
  <c r="Q16" i="1"/>
  <c r="M17" i="1"/>
  <c r="K17" i="1"/>
  <c r="L17" i="1"/>
  <c r="L142" i="1"/>
  <c r="J144" i="1"/>
  <c r="S144" i="1"/>
  <c r="K143" i="1"/>
  <c r="P143" i="1"/>
  <c r="Q143" i="1"/>
  <c r="N143" i="1"/>
  <c r="I273" i="1"/>
  <c r="D265" i="1"/>
  <c r="F265" i="1"/>
  <c r="E265" i="1"/>
  <c r="I266" i="1"/>
  <c r="D258" i="1"/>
  <c r="F258" i="1"/>
  <c r="E258" i="1"/>
  <c r="F285" i="1"/>
  <c r="E285" i="1"/>
  <c r="D285" i="1"/>
  <c r="I328" i="1"/>
  <c r="F320" i="1"/>
  <c r="E320" i="1"/>
  <c r="D320" i="1"/>
  <c r="I284" i="1"/>
  <c r="F276" i="1"/>
  <c r="E276" i="1"/>
  <c r="D276" i="1"/>
  <c r="F278" i="1"/>
  <c r="E278" i="1"/>
  <c r="D278" i="1"/>
  <c r="I286" i="1"/>
  <c r="D271" i="1"/>
  <c r="F271" i="1"/>
  <c r="E271" i="1"/>
  <c r="I279" i="1"/>
  <c r="I267" i="1"/>
  <c r="F259" i="1"/>
  <c r="E259" i="1"/>
  <c r="D259" i="1"/>
  <c r="P17" i="1"/>
  <c r="Q17" i="1"/>
  <c r="M18" i="1"/>
  <c r="K18" i="1"/>
  <c r="L18" i="1"/>
  <c r="J145" i="1"/>
  <c r="S145" i="1"/>
  <c r="K144" i="1"/>
  <c r="P144" i="1"/>
  <c r="Q144" i="1"/>
  <c r="N144" i="1"/>
  <c r="L144" i="1"/>
  <c r="L143" i="1"/>
  <c r="I287" i="1"/>
  <c r="F279" i="1"/>
  <c r="E279" i="1"/>
  <c r="D279" i="1"/>
  <c r="F286" i="1"/>
  <c r="E286" i="1"/>
  <c r="I294" i="1"/>
  <c r="D286" i="1"/>
  <c r="D293" i="1"/>
  <c r="F293" i="1"/>
  <c r="E293" i="1"/>
  <c r="I274" i="1"/>
  <c r="D266" i="1"/>
  <c r="F266" i="1"/>
  <c r="E266" i="1"/>
  <c r="I275" i="1"/>
  <c r="D267" i="1"/>
  <c r="F267" i="1"/>
  <c r="E267" i="1"/>
  <c r="I336" i="1"/>
  <c r="D328" i="1"/>
  <c r="F328" i="1"/>
  <c r="E328" i="1"/>
  <c r="I292" i="1"/>
  <c r="F284" i="1"/>
  <c r="E284" i="1"/>
  <c r="D284" i="1"/>
  <c r="D273" i="1"/>
  <c r="F273" i="1"/>
  <c r="E273" i="1"/>
  <c r="I281" i="1"/>
  <c r="P18" i="1"/>
  <c r="Q18" i="1"/>
  <c r="M19" i="1"/>
  <c r="K19" i="1"/>
  <c r="L19" i="1"/>
  <c r="K145" i="1"/>
  <c r="L145" i="1"/>
  <c r="P145" i="1"/>
  <c r="Q145" i="1"/>
  <c r="N145" i="1"/>
  <c r="J146" i="1"/>
  <c r="S146" i="1"/>
  <c r="I282" i="1"/>
  <c r="D274" i="1"/>
  <c r="F274" i="1"/>
  <c r="E274" i="1"/>
  <c r="F301" i="1"/>
  <c r="E301" i="1"/>
  <c r="D301" i="1"/>
  <c r="I344" i="1"/>
  <c r="F336" i="1"/>
  <c r="E336" i="1"/>
  <c r="D336" i="1"/>
  <c r="I289" i="1"/>
  <c r="D281" i="1"/>
  <c r="F281" i="1"/>
  <c r="E281" i="1"/>
  <c r="I283" i="1"/>
  <c r="D275" i="1"/>
  <c r="F275" i="1"/>
  <c r="E275" i="1"/>
  <c r="I300" i="1"/>
  <c r="D292" i="1"/>
  <c r="F292" i="1"/>
  <c r="E292" i="1"/>
  <c r="I302" i="1"/>
  <c r="F294" i="1"/>
  <c r="E294" i="1"/>
  <c r="D294" i="1"/>
  <c r="I295" i="1"/>
  <c r="D287" i="1"/>
  <c r="F287" i="1"/>
  <c r="E287" i="1"/>
  <c r="P19" i="1"/>
  <c r="Q19" i="1"/>
  <c r="M20" i="1"/>
  <c r="N25" i="1"/>
  <c r="J147" i="1"/>
  <c r="S147" i="1"/>
  <c r="K146" i="1"/>
  <c r="N146" i="1"/>
  <c r="L146" i="1"/>
  <c r="P146" i="1"/>
  <c r="Q146" i="1"/>
  <c r="D309" i="1"/>
  <c r="F309" i="1"/>
  <c r="E309" i="1"/>
  <c r="I352" i="1"/>
  <c r="D344" i="1"/>
  <c r="F344" i="1"/>
  <c r="E344" i="1"/>
  <c r="I297" i="1"/>
  <c r="D289" i="1"/>
  <c r="F289" i="1"/>
  <c r="E289" i="1"/>
  <c r="F282" i="1"/>
  <c r="E282" i="1"/>
  <c r="I290" i="1"/>
  <c r="D282" i="1"/>
  <c r="I291" i="1"/>
  <c r="D283" i="1"/>
  <c r="F283" i="1"/>
  <c r="E283" i="1"/>
  <c r="F302" i="1"/>
  <c r="E302" i="1"/>
  <c r="D302" i="1"/>
  <c r="I310" i="1"/>
  <c r="I303" i="1"/>
  <c r="D295" i="1"/>
  <c r="F295" i="1"/>
  <c r="E295" i="1"/>
  <c r="D300" i="1"/>
  <c r="I308" i="1"/>
  <c r="F300" i="1"/>
  <c r="E300" i="1"/>
  <c r="M21" i="1"/>
  <c r="N26" i="1"/>
  <c r="N147" i="1"/>
  <c r="K147" i="1"/>
  <c r="L147" i="1"/>
  <c r="P147" i="1"/>
  <c r="Q147" i="1"/>
  <c r="J148" i="1"/>
  <c r="S148" i="1"/>
  <c r="I298" i="1"/>
  <c r="D290" i="1"/>
  <c r="F290" i="1"/>
  <c r="E290" i="1"/>
  <c r="I305" i="1"/>
  <c r="D297" i="1"/>
  <c r="F297" i="1"/>
  <c r="E297" i="1"/>
  <c r="I318" i="1"/>
  <c r="D310" i="1"/>
  <c r="F310" i="1"/>
  <c r="E310" i="1"/>
  <c r="I299" i="1"/>
  <c r="D291" i="1"/>
  <c r="F291" i="1"/>
  <c r="E291" i="1"/>
  <c r="I360" i="1"/>
  <c r="D352" i="1"/>
  <c r="F352" i="1"/>
  <c r="E352" i="1"/>
  <c r="I311" i="1"/>
  <c r="D303" i="1"/>
  <c r="F303" i="1"/>
  <c r="E303" i="1"/>
  <c r="I316" i="1"/>
  <c r="D308" i="1"/>
  <c r="F308" i="1"/>
  <c r="E308" i="1"/>
  <c r="D317" i="1"/>
  <c r="F317" i="1"/>
  <c r="E317" i="1"/>
  <c r="M22" i="1"/>
  <c r="N27" i="1"/>
  <c r="K148" i="1"/>
  <c r="L148" i="1"/>
  <c r="N148" i="1"/>
  <c r="P148" i="1"/>
  <c r="Q148" i="1"/>
  <c r="J149" i="1"/>
  <c r="S149" i="1"/>
  <c r="D316" i="1"/>
  <c r="I324" i="1"/>
  <c r="F316" i="1"/>
  <c r="E316" i="1"/>
  <c r="I319" i="1"/>
  <c r="F311" i="1"/>
  <c r="E311" i="1"/>
  <c r="D311" i="1"/>
  <c r="I326" i="1"/>
  <c r="D318" i="1"/>
  <c r="F318" i="1"/>
  <c r="E318" i="1"/>
  <c r="F305" i="1"/>
  <c r="E305" i="1"/>
  <c r="D305" i="1"/>
  <c r="I313" i="1"/>
  <c r="I368" i="1"/>
  <c r="D360" i="1"/>
  <c r="F360" i="1"/>
  <c r="E360" i="1"/>
  <c r="I307" i="1"/>
  <c r="D299" i="1"/>
  <c r="F299" i="1"/>
  <c r="E299" i="1"/>
  <c r="D325" i="1"/>
  <c r="F325" i="1"/>
  <c r="E325" i="1"/>
  <c r="I306" i="1"/>
  <c r="D298" i="1"/>
  <c r="F298" i="1"/>
  <c r="E298" i="1"/>
  <c r="M23" i="1"/>
  <c r="N28" i="1"/>
  <c r="K149" i="1"/>
  <c r="P149" i="1"/>
  <c r="Q149" i="1"/>
  <c r="L149" i="1"/>
  <c r="N149" i="1"/>
  <c r="S150" i="1"/>
  <c r="J150" i="1"/>
  <c r="D333" i="1"/>
  <c r="F333" i="1"/>
  <c r="E333" i="1"/>
  <c r="I327" i="1"/>
  <c r="D319" i="1"/>
  <c r="F319" i="1"/>
  <c r="E319" i="1"/>
  <c r="D313" i="1"/>
  <c r="I321" i="1"/>
  <c r="F313" i="1"/>
  <c r="E313" i="1"/>
  <c r="F326" i="1"/>
  <c r="E326" i="1"/>
  <c r="D326" i="1"/>
  <c r="I334" i="1"/>
  <c r="F324" i="1"/>
  <c r="E324" i="1"/>
  <c r="I332" i="1"/>
  <c r="D324" i="1"/>
  <c r="I376" i="1"/>
  <c r="D368" i="1"/>
  <c r="F368" i="1"/>
  <c r="E368" i="1"/>
  <c r="I314" i="1"/>
  <c r="D306" i="1"/>
  <c r="F306" i="1"/>
  <c r="E306" i="1"/>
  <c r="I315" i="1"/>
  <c r="D307" i="1"/>
  <c r="F307" i="1"/>
  <c r="E307" i="1"/>
  <c r="M24" i="1"/>
  <c r="N29" i="1"/>
  <c r="J151" i="1"/>
  <c r="S151" i="1"/>
  <c r="K150" i="1"/>
  <c r="P150" i="1"/>
  <c r="Q150" i="1"/>
  <c r="N150" i="1"/>
  <c r="L150" i="1"/>
  <c r="I335" i="1"/>
  <c r="F327" i="1"/>
  <c r="E327" i="1"/>
  <c r="D327" i="1"/>
  <c r="I322" i="1"/>
  <c r="D314" i="1"/>
  <c r="F314" i="1"/>
  <c r="E314" i="1"/>
  <c r="D332" i="1"/>
  <c r="I340" i="1"/>
  <c r="F332" i="1"/>
  <c r="E332" i="1"/>
  <c r="I384" i="1"/>
  <c r="D376" i="1"/>
  <c r="F376" i="1"/>
  <c r="E376" i="1"/>
  <c r="F321" i="1"/>
  <c r="E321" i="1"/>
  <c r="D321" i="1"/>
  <c r="I329" i="1"/>
  <c r="D341" i="1"/>
  <c r="F341" i="1"/>
  <c r="E341" i="1"/>
  <c r="D334" i="1"/>
  <c r="F334" i="1"/>
  <c r="E334" i="1"/>
  <c r="I342" i="1"/>
  <c r="I323" i="1"/>
  <c r="F315" i="1"/>
  <c r="E315" i="1"/>
  <c r="D315" i="1"/>
  <c r="M25" i="1"/>
  <c r="K25" i="1"/>
  <c r="L25" i="1"/>
  <c r="N30" i="1"/>
  <c r="N151" i="1"/>
  <c r="K151" i="1"/>
  <c r="L151" i="1"/>
  <c r="S152" i="1"/>
  <c r="J152" i="1"/>
  <c r="I331" i="1"/>
  <c r="F323" i="1"/>
  <c r="E323" i="1"/>
  <c r="D323" i="1"/>
  <c r="I392" i="1"/>
  <c r="D384" i="1"/>
  <c r="F384" i="1"/>
  <c r="E384" i="1"/>
  <c r="F349" i="1"/>
  <c r="E349" i="1"/>
  <c r="D349" i="1"/>
  <c r="I343" i="1"/>
  <c r="D335" i="1"/>
  <c r="F335" i="1"/>
  <c r="E335" i="1"/>
  <c r="I348" i="1"/>
  <c r="D340" i="1"/>
  <c r="F340" i="1"/>
  <c r="E340" i="1"/>
  <c r="I350" i="1"/>
  <c r="F342" i="1"/>
  <c r="E342" i="1"/>
  <c r="D342" i="1"/>
  <c r="F329" i="1"/>
  <c r="E329" i="1"/>
  <c r="I337" i="1"/>
  <c r="D329" i="1"/>
  <c r="I330" i="1"/>
  <c r="D322" i="1"/>
  <c r="F322" i="1"/>
  <c r="E322" i="1"/>
  <c r="P25" i="1"/>
  <c r="Q25" i="1"/>
  <c r="M26" i="1"/>
  <c r="K26" i="1"/>
  <c r="L26" i="1"/>
  <c r="N31" i="1"/>
  <c r="S153" i="1"/>
  <c r="J153" i="1"/>
  <c r="N152" i="1"/>
  <c r="K152" i="1"/>
  <c r="L152" i="1"/>
  <c r="P152" i="1"/>
  <c r="Q152" i="1"/>
  <c r="P151" i="1"/>
  <c r="Q151" i="1"/>
  <c r="I338" i="1"/>
  <c r="D330" i="1"/>
  <c r="F330" i="1"/>
  <c r="E330" i="1"/>
  <c r="I345" i="1"/>
  <c r="D337" i="1"/>
  <c r="F337" i="1"/>
  <c r="E337" i="1"/>
  <c r="I356" i="1"/>
  <c r="D348" i="1"/>
  <c r="F348" i="1"/>
  <c r="E348" i="1"/>
  <c r="I400" i="1"/>
  <c r="F392" i="1"/>
  <c r="E392" i="1"/>
  <c r="D392" i="1"/>
  <c r="D343" i="1"/>
  <c r="I351" i="1"/>
  <c r="F343" i="1"/>
  <c r="E343" i="1"/>
  <c r="I358" i="1"/>
  <c r="D350" i="1"/>
  <c r="F350" i="1"/>
  <c r="E350" i="1"/>
  <c r="F357" i="1"/>
  <c r="E357" i="1"/>
  <c r="D357" i="1"/>
  <c r="I339" i="1"/>
  <c r="D331" i="1"/>
  <c r="F331" i="1"/>
  <c r="E331" i="1"/>
  <c r="P26" i="1"/>
  <c r="Q26" i="1"/>
  <c r="M27" i="1"/>
  <c r="K27" i="1"/>
  <c r="L27" i="1"/>
  <c r="N32" i="1"/>
  <c r="N153" i="1"/>
  <c r="K153" i="1"/>
  <c r="L153" i="1"/>
  <c r="P153" i="1"/>
  <c r="Q153" i="1"/>
  <c r="J154" i="1"/>
  <c r="S154" i="1"/>
  <c r="I353" i="1"/>
  <c r="D345" i="1"/>
  <c r="F345" i="1"/>
  <c r="E345" i="1"/>
  <c r="I366" i="1"/>
  <c r="D358" i="1"/>
  <c r="F358" i="1"/>
  <c r="E358" i="1"/>
  <c r="I346" i="1"/>
  <c r="F338" i="1"/>
  <c r="E338" i="1"/>
  <c r="D338" i="1"/>
  <c r="I364" i="1"/>
  <c r="D356" i="1"/>
  <c r="F356" i="1"/>
  <c r="E356" i="1"/>
  <c r="I359" i="1"/>
  <c r="D351" i="1"/>
  <c r="F351" i="1"/>
  <c r="E351" i="1"/>
  <c r="I347" i="1"/>
  <c r="D339" i="1"/>
  <c r="F339" i="1"/>
  <c r="E339" i="1"/>
  <c r="F365" i="1"/>
  <c r="E365" i="1"/>
  <c r="D365" i="1"/>
  <c r="I408" i="1"/>
  <c r="D400" i="1"/>
  <c r="F400" i="1"/>
  <c r="E400" i="1"/>
  <c r="P27" i="1"/>
  <c r="Q27" i="1"/>
  <c r="M28" i="1"/>
  <c r="K28" i="1"/>
  <c r="L28" i="1"/>
  <c r="N33" i="1"/>
  <c r="K154" i="1"/>
  <c r="L154" i="1"/>
  <c r="N154" i="1"/>
  <c r="P154" i="1"/>
  <c r="Q154" i="1"/>
  <c r="S155" i="1"/>
  <c r="J155" i="1"/>
  <c r="F366" i="1"/>
  <c r="E366" i="1"/>
  <c r="D366" i="1"/>
  <c r="I374" i="1"/>
  <c r="D353" i="1"/>
  <c r="F353" i="1"/>
  <c r="E353" i="1"/>
  <c r="I361" i="1"/>
  <c r="D373" i="1"/>
  <c r="F373" i="1"/>
  <c r="E373" i="1"/>
  <c r="I367" i="1"/>
  <c r="D359" i="1"/>
  <c r="F359" i="1"/>
  <c r="E359" i="1"/>
  <c r="I354" i="1"/>
  <c r="F346" i="1"/>
  <c r="E346" i="1"/>
  <c r="D346" i="1"/>
  <c r="D364" i="1"/>
  <c r="I372" i="1"/>
  <c r="F364" i="1"/>
  <c r="E364" i="1"/>
  <c r="D408" i="1"/>
  <c r="I416" i="1"/>
  <c r="F408" i="1"/>
  <c r="E408" i="1"/>
  <c r="D347" i="1"/>
  <c r="F347" i="1"/>
  <c r="E347" i="1"/>
  <c r="I355" i="1"/>
  <c r="P28" i="1"/>
  <c r="Q28" i="1"/>
  <c r="M29" i="1"/>
  <c r="K29" i="1"/>
  <c r="L29" i="1"/>
  <c r="N34" i="1"/>
  <c r="K155" i="1"/>
  <c r="N155" i="1"/>
  <c r="P155" i="1"/>
  <c r="Q155" i="1"/>
  <c r="L155" i="1"/>
  <c r="J156" i="1"/>
  <c r="S156" i="1"/>
  <c r="I369" i="1"/>
  <c r="F361" i="1"/>
  <c r="E361" i="1"/>
  <c r="D361" i="1"/>
  <c r="F355" i="1"/>
  <c r="E355" i="1"/>
  <c r="I363" i="1"/>
  <c r="D355" i="1"/>
  <c r="F374" i="1"/>
  <c r="E374" i="1"/>
  <c r="I382" i="1"/>
  <c r="D374" i="1"/>
  <c r="I424" i="1"/>
  <c r="F416" i="1"/>
  <c r="E416" i="1"/>
  <c r="D416" i="1"/>
  <c r="I362" i="1"/>
  <c r="D354" i="1"/>
  <c r="F354" i="1"/>
  <c r="E354" i="1"/>
  <c r="D367" i="1"/>
  <c r="I375" i="1"/>
  <c r="F367" i="1"/>
  <c r="E367" i="1"/>
  <c r="I380" i="1"/>
  <c r="D372" i="1"/>
  <c r="F372" i="1"/>
  <c r="E372" i="1"/>
  <c r="F381" i="1"/>
  <c r="E381" i="1"/>
  <c r="D381" i="1"/>
  <c r="P29" i="1"/>
  <c r="Q29" i="1"/>
  <c r="M30" i="1"/>
  <c r="K30" i="1"/>
  <c r="L30" i="1"/>
  <c r="N35" i="1"/>
  <c r="J157" i="1"/>
  <c r="S157" i="1"/>
  <c r="K156" i="1"/>
  <c r="N156" i="1"/>
  <c r="L156" i="1"/>
  <c r="P156" i="1"/>
  <c r="Q156" i="1"/>
  <c r="F362" i="1"/>
  <c r="E362" i="1"/>
  <c r="D362" i="1"/>
  <c r="I370" i="1"/>
  <c r="F363" i="1"/>
  <c r="E363" i="1"/>
  <c r="I371" i="1"/>
  <c r="D363" i="1"/>
  <c r="D424" i="1"/>
  <c r="I432" i="1"/>
  <c r="F424" i="1"/>
  <c r="E424" i="1"/>
  <c r="F369" i="1"/>
  <c r="E369" i="1"/>
  <c r="D369" i="1"/>
  <c r="I377" i="1"/>
  <c r="I383" i="1"/>
  <c r="D375" i="1"/>
  <c r="F375" i="1"/>
  <c r="E375" i="1"/>
  <c r="D380" i="1"/>
  <c r="I388" i="1"/>
  <c r="F380" i="1"/>
  <c r="E380" i="1"/>
  <c r="I390" i="1"/>
  <c r="D382" i="1"/>
  <c r="F382" i="1"/>
  <c r="E382" i="1"/>
  <c r="F389" i="1"/>
  <c r="E389" i="1"/>
  <c r="D389" i="1"/>
  <c r="M31" i="1"/>
  <c r="K31" i="1"/>
  <c r="L31" i="1"/>
  <c r="P30" i="1"/>
  <c r="Q30" i="1"/>
  <c r="N36" i="1"/>
  <c r="K157" i="1"/>
  <c r="L157" i="1"/>
  <c r="N157" i="1"/>
  <c r="P157" i="1"/>
  <c r="Q157" i="1"/>
  <c r="S158" i="1"/>
  <c r="J158" i="1"/>
  <c r="D383" i="1"/>
  <c r="I391" i="1"/>
  <c r="F383" i="1"/>
  <c r="E383" i="1"/>
  <c r="F371" i="1"/>
  <c r="E371" i="1"/>
  <c r="I379" i="1"/>
  <c r="D371" i="1"/>
  <c r="I440" i="1"/>
  <c r="F432" i="1"/>
  <c r="E432" i="1"/>
  <c r="D432" i="1"/>
  <c r="F397" i="1"/>
  <c r="E397" i="1"/>
  <c r="D397" i="1"/>
  <c r="I396" i="1"/>
  <c r="F388" i="1"/>
  <c r="E388" i="1"/>
  <c r="D388" i="1"/>
  <c r="I378" i="1"/>
  <c r="D370" i="1"/>
  <c r="F370" i="1"/>
  <c r="E370" i="1"/>
  <c r="I398" i="1"/>
  <c r="D390" i="1"/>
  <c r="F390" i="1"/>
  <c r="E390" i="1"/>
  <c r="F377" i="1"/>
  <c r="E377" i="1"/>
  <c r="I385" i="1"/>
  <c r="D377" i="1"/>
  <c r="P31" i="1"/>
  <c r="Q31" i="1"/>
  <c r="M32" i="1"/>
  <c r="K32" i="1"/>
  <c r="L32" i="1"/>
  <c r="N37" i="1"/>
  <c r="S159" i="1"/>
  <c r="J159" i="1"/>
  <c r="N158" i="1"/>
  <c r="K158" i="1"/>
  <c r="L158" i="1"/>
  <c r="I393" i="1"/>
  <c r="D385" i="1"/>
  <c r="F385" i="1"/>
  <c r="E385" i="1"/>
  <c r="I386" i="1"/>
  <c r="F378" i="1"/>
  <c r="E378" i="1"/>
  <c r="D378" i="1"/>
  <c r="D396" i="1"/>
  <c r="I404" i="1"/>
  <c r="F396" i="1"/>
  <c r="E396" i="1"/>
  <c r="I399" i="1"/>
  <c r="D391" i="1"/>
  <c r="F391" i="1"/>
  <c r="E391" i="1"/>
  <c r="I406" i="1"/>
  <c r="D398" i="1"/>
  <c r="F398" i="1"/>
  <c r="E398" i="1"/>
  <c r="F379" i="1"/>
  <c r="E379" i="1"/>
  <c r="I387" i="1"/>
  <c r="D379" i="1"/>
  <c r="D405" i="1"/>
  <c r="F405" i="1"/>
  <c r="E405" i="1"/>
  <c r="D440" i="1"/>
  <c r="F440" i="1"/>
  <c r="E440" i="1"/>
  <c r="I448" i="1"/>
  <c r="M33" i="1"/>
  <c r="K33" i="1"/>
  <c r="L33" i="1"/>
  <c r="P32" i="1"/>
  <c r="Q32" i="1"/>
  <c r="N38" i="1"/>
  <c r="P158" i="1"/>
  <c r="Q158" i="1"/>
  <c r="S160" i="1"/>
  <c r="J160" i="1"/>
  <c r="K159" i="1"/>
  <c r="P159" i="1"/>
  <c r="Q159" i="1"/>
  <c r="N159" i="1"/>
  <c r="I414" i="1"/>
  <c r="F406" i="1"/>
  <c r="E406" i="1"/>
  <c r="D406" i="1"/>
  <c r="D399" i="1"/>
  <c r="F399" i="1"/>
  <c r="E399" i="1"/>
  <c r="I407" i="1"/>
  <c r="I412" i="1"/>
  <c r="F404" i="1"/>
  <c r="E404" i="1"/>
  <c r="D404" i="1"/>
  <c r="I394" i="1"/>
  <c r="D386" i="1"/>
  <c r="F386" i="1"/>
  <c r="E386" i="1"/>
  <c r="D413" i="1"/>
  <c r="F413" i="1"/>
  <c r="E413" i="1"/>
  <c r="F393" i="1"/>
  <c r="E393" i="1"/>
  <c r="I401" i="1"/>
  <c r="D393" i="1"/>
  <c r="I456" i="1"/>
  <c r="D448" i="1"/>
  <c r="F448" i="1"/>
  <c r="E448" i="1"/>
  <c r="I395" i="1"/>
  <c r="D387" i="1"/>
  <c r="F387" i="1"/>
  <c r="E387" i="1"/>
  <c r="P33" i="1"/>
  <c r="Q33" i="1"/>
  <c r="M34" i="1"/>
  <c r="K34" i="1"/>
  <c r="L34" i="1"/>
  <c r="N39" i="1"/>
  <c r="K160" i="1"/>
  <c r="L160" i="1"/>
  <c r="N160" i="1"/>
  <c r="P160" i="1"/>
  <c r="Q160" i="1"/>
  <c r="L159" i="1"/>
  <c r="J161" i="1"/>
  <c r="S161" i="1"/>
  <c r="I403" i="1"/>
  <c r="D395" i="1"/>
  <c r="F395" i="1"/>
  <c r="E395" i="1"/>
  <c r="F407" i="1"/>
  <c r="E407" i="1"/>
  <c r="D407" i="1"/>
  <c r="I415" i="1"/>
  <c r="D456" i="1"/>
  <c r="F456" i="1"/>
  <c r="E456" i="1"/>
  <c r="I464" i="1"/>
  <c r="D394" i="1"/>
  <c r="F394" i="1"/>
  <c r="E394" i="1"/>
  <c r="I402" i="1"/>
  <c r="I420" i="1"/>
  <c r="F412" i="1"/>
  <c r="E412" i="1"/>
  <c r="D412" i="1"/>
  <c r="I422" i="1"/>
  <c r="D414" i="1"/>
  <c r="F414" i="1"/>
  <c r="E414" i="1"/>
  <c r="D421" i="1"/>
  <c r="F421" i="1"/>
  <c r="E421" i="1"/>
  <c r="I409" i="1"/>
  <c r="D401" i="1"/>
  <c r="F401" i="1"/>
  <c r="E401" i="1"/>
  <c r="P34" i="1"/>
  <c r="Q34" i="1"/>
  <c r="M35" i="1"/>
  <c r="K35" i="1"/>
  <c r="L35" i="1"/>
  <c r="N40" i="1"/>
  <c r="S162" i="1"/>
  <c r="J162" i="1"/>
  <c r="N161" i="1"/>
  <c r="K161" i="1"/>
  <c r="P161" i="1"/>
  <c r="Q161" i="1"/>
  <c r="I417" i="1"/>
  <c r="D409" i="1"/>
  <c r="F409" i="1"/>
  <c r="E409" i="1"/>
  <c r="F422" i="1"/>
  <c r="E422" i="1"/>
  <c r="I430" i="1"/>
  <c r="D422" i="1"/>
  <c r="I410" i="1"/>
  <c r="D402" i="1"/>
  <c r="F402" i="1"/>
  <c r="E402" i="1"/>
  <c r="I472" i="1"/>
  <c r="D464" i="1"/>
  <c r="F464" i="1"/>
  <c r="E464" i="1"/>
  <c r="D429" i="1"/>
  <c r="F429" i="1"/>
  <c r="E429" i="1"/>
  <c r="D415" i="1"/>
  <c r="F415" i="1"/>
  <c r="E415" i="1"/>
  <c r="I423" i="1"/>
  <c r="I428" i="1"/>
  <c r="F420" i="1"/>
  <c r="E420" i="1"/>
  <c r="D420" i="1"/>
  <c r="I411" i="1"/>
  <c r="F403" i="1"/>
  <c r="E403" i="1"/>
  <c r="D403" i="1"/>
  <c r="P35" i="1"/>
  <c r="Q35" i="1"/>
  <c r="M36" i="1"/>
  <c r="K36" i="1"/>
  <c r="L36" i="1"/>
  <c r="N41" i="1"/>
  <c r="L161" i="1"/>
  <c r="K162" i="1"/>
  <c r="L162" i="1"/>
  <c r="P162" i="1"/>
  <c r="Q162" i="1"/>
  <c r="N162" i="1"/>
  <c r="J163" i="1"/>
  <c r="S163" i="1"/>
  <c r="D472" i="1"/>
  <c r="F472" i="1"/>
  <c r="E472" i="1"/>
  <c r="I480" i="1"/>
  <c r="I431" i="1"/>
  <c r="D423" i="1"/>
  <c r="F423" i="1"/>
  <c r="E423" i="1"/>
  <c r="F437" i="1"/>
  <c r="E437" i="1"/>
  <c r="D437" i="1"/>
  <c r="I418" i="1"/>
  <c r="D410" i="1"/>
  <c r="F410" i="1"/>
  <c r="E410" i="1"/>
  <c r="I436" i="1"/>
  <c r="D428" i="1"/>
  <c r="F428" i="1"/>
  <c r="E428" i="1"/>
  <c r="I438" i="1"/>
  <c r="F430" i="1"/>
  <c r="E430" i="1"/>
  <c r="D430" i="1"/>
  <c r="I425" i="1"/>
  <c r="D417" i="1"/>
  <c r="F417" i="1"/>
  <c r="E417" i="1"/>
  <c r="D411" i="1"/>
  <c r="I419" i="1"/>
  <c r="F411" i="1"/>
  <c r="E411" i="1"/>
  <c r="P36" i="1"/>
  <c r="Q36" i="1"/>
  <c r="M37" i="1"/>
  <c r="K37" i="1"/>
  <c r="L37" i="1"/>
  <c r="N42" i="1"/>
  <c r="K163" i="1"/>
  <c r="N163" i="1"/>
  <c r="P163" i="1"/>
  <c r="Q163" i="1"/>
  <c r="L163" i="1"/>
  <c r="J164" i="1"/>
  <c r="S164" i="1"/>
  <c r="F445" i="1"/>
  <c r="E445" i="1"/>
  <c r="D445" i="1"/>
  <c r="F425" i="1"/>
  <c r="E425" i="1"/>
  <c r="D425" i="1"/>
  <c r="I433" i="1"/>
  <c r="I426" i="1"/>
  <c r="F418" i="1"/>
  <c r="E418" i="1"/>
  <c r="D418" i="1"/>
  <c r="D480" i="1"/>
  <c r="F480" i="1"/>
  <c r="E480" i="1"/>
  <c r="D436" i="1"/>
  <c r="I444" i="1"/>
  <c r="F436" i="1"/>
  <c r="E436" i="1"/>
  <c r="I439" i="1"/>
  <c r="D431" i="1"/>
  <c r="F431" i="1"/>
  <c r="E431" i="1"/>
  <c r="F438" i="1"/>
  <c r="E438" i="1"/>
  <c r="I446" i="1"/>
  <c r="D438" i="1"/>
  <c r="I427" i="1"/>
  <c r="D419" i="1"/>
  <c r="F419" i="1"/>
  <c r="E419" i="1"/>
  <c r="P37" i="1"/>
  <c r="Q37" i="1"/>
  <c r="M38" i="1"/>
  <c r="K38" i="1"/>
  <c r="L38" i="1"/>
  <c r="N43" i="1"/>
  <c r="N164" i="1"/>
  <c r="K164" i="1"/>
  <c r="P164" i="1"/>
  <c r="Q164" i="1"/>
  <c r="L164" i="1"/>
  <c r="J165" i="1"/>
  <c r="S165" i="1"/>
  <c r="I452" i="1"/>
  <c r="D444" i="1"/>
  <c r="F444" i="1"/>
  <c r="E444" i="1"/>
  <c r="F453" i="1"/>
  <c r="E453" i="1"/>
  <c r="D453" i="1"/>
  <c r="D446" i="1"/>
  <c r="I454" i="1"/>
  <c r="F446" i="1"/>
  <c r="E446" i="1"/>
  <c r="D426" i="1"/>
  <c r="I434" i="1"/>
  <c r="F426" i="1"/>
  <c r="E426" i="1"/>
  <c r="I441" i="1"/>
  <c r="D433" i="1"/>
  <c r="F433" i="1"/>
  <c r="E433" i="1"/>
  <c r="F427" i="1"/>
  <c r="E427" i="1"/>
  <c r="D427" i="1"/>
  <c r="I435" i="1"/>
  <c r="D439" i="1"/>
  <c r="F439" i="1"/>
  <c r="E439" i="1"/>
  <c r="I447" i="1"/>
  <c r="P38" i="1"/>
  <c r="Q38" i="1"/>
  <c r="M39" i="1"/>
  <c r="K39" i="1"/>
  <c r="L39" i="1"/>
  <c r="N44" i="1"/>
  <c r="J166" i="1"/>
  <c r="S166" i="1"/>
  <c r="N165" i="1"/>
  <c r="K165" i="1"/>
  <c r="L165" i="1"/>
  <c r="F454" i="1"/>
  <c r="E454" i="1"/>
  <c r="D454" i="1"/>
  <c r="I462" i="1"/>
  <c r="F461" i="1"/>
  <c r="E461" i="1"/>
  <c r="D461" i="1"/>
  <c r="D441" i="1"/>
  <c r="F441" i="1"/>
  <c r="E441" i="1"/>
  <c r="I449" i="1"/>
  <c r="I442" i="1"/>
  <c r="D434" i="1"/>
  <c r="F434" i="1"/>
  <c r="E434" i="1"/>
  <c r="I455" i="1"/>
  <c r="F447" i="1"/>
  <c r="E447" i="1"/>
  <c r="D447" i="1"/>
  <c r="I460" i="1"/>
  <c r="F452" i="1"/>
  <c r="E452" i="1"/>
  <c r="D452" i="1"/>
  <c r="I443" i="1"/>
  <c r="F435" i="1"/>
  <c r="E435" i="1"/>
  <c r="D435" i="1"/>
  <c r="P39" i="1"/>
  <c r="Q39" i="1"/>
  <c r="M40" i="1"/>
  <c r="K40" i="1"/>
  <c r="L40" i="1"/>
  <c r="N45" i="1"/>
  <c r="J167" i="1"/>
  <c r="S167" i="1"/>
  <c r="P165" i="1"/>
  <c r="Q165" i="1"/>
  <c r="K166" i="1"/>
  <c r="L166" i="1"/>
  <c r="N166" i="1"/>
  <c r="I463" i="1"/>
  <c r="F455" i="1"/>
  <c r="E455" i="1"/>
  <c r="D455" i="1"/>
  <c r="F442" i="1"/>
  <c r="E442" i="1"/>
  <c r="D442" i="1"/>
  <c r="I450" i="1"/>
  <c r="D469" i="1"/>
  <c r="F469" i="1"/>
  <c r="E469" i="1"/>
  <c r="I470" i="1"/>
  <c r="D462" i="1"/>
  <c r="F462" i="1"/>
  <c r="E462" i="1"/>
  <c r="I468" i="1"/>
  <c r="D460" i="1"/>
  <c r="F460" i="1"/>
  <c r="E460" i="1"/>
  <c r="F449" i="1"/>
  <c r="E449" i="1"/>
  <c r="D449" i="1"/>
  <c r="I457" i="1"/>
  <c r="I451" i="1"/>
  <c r="F443" i="1"/>
  <c r="E443" i="1"/>
  <c r="D443" i="1"/>
  <c r="P40" i="1"/>
  <c r="Q40" i="1"/>
  <c r="M41" i="1"/>
  <c r="K41" i="1"/>
  <c r="L41" i="1"/>
  <c r="N46" i="1"/>
  <c r="P166" i="1"/>
  <c r="Q166" i="1"/>
  <c r="K167" i="1"/>
  <c r="P167" i="1"/>
  <c r="Q167" i="1"/>
  <c r="N167" i="1"/>
  <c r="J168" i="1"/>
  <c r="S168" i="1"/>
  <c r="I459" i="1"/>
  <c r="D451" i="1"/>
  <c r="F451" i="1"/>
  <c r="E451" i="1"/>
  <c r="I476" i="1"/>
  <c r="F468" i="1"/>
  <c r="E468" i="1"/>
  <c r="D468" i="1"/>
  <c r="F470" i="1"/>
  <c r="E470" i="1"/>
  <c r="I478" i="1"/>
  <c r="D470" i="1"/>
  <c r="I465" i="1"/>
  <c r="D457" i="1"/>
  <c r="F457" i="1"/>
  <c r="E457" i="1"/>
  <c r="I471" i="1"/>
  <c r="D463" i="1"/>
  <c r="F463" i="1"/>
  <c r="E463" i="1"/>
  <c r="D477" i="1"/>
  <c r="F477" i="1"/>
  <c r="E477" i="1"/>
  <c r="I458" i="1"/>
  <c r="D450" i="1"/>
  <c r="F450" i="1"/>
  <c r="E450" i="1"/>
  <c r="P41" i="1"/>
  <c r="Q41" i="1"/>
  <c r="M42" i="1"/>
  <c r="K42" i="1"/>
  <c r="L42" i="1"/>
  <c r="N47" i="1"/>
  <c r="S169" i="1"/>
  <c r="J169" i="1"/>
  <c r="L167" i="1"/>
  <c r="N168" i="1"/>
  <c r="K168" i="1"/>
  <c r="P168" i="1"/>
  <c r="Q168" i="1"/>
  <c r="L168" i="1"/>
  <c r="D465" i="1"/>
  <c r="I473" i="1"/>
  <c r="F465" i="1"/>
  <c r="E465" i="1"/>
  <c r="I479" i="1"/>
  <c r="D471" i="1"/>
  <c r="F471" i="1"/>
  <c r="E471" i="1"/>
  <c r="D485" i="1"/>
  <c r="F485" i="1"/>
  <c r="E485" i="1"/>
  <c r="I467" i="1"/>
  <c r="D459" i="1"/>
  <c r="F459" i="1"/>
  <c r="E459" i="1"/>
  <c r="F478" i="1"/>
  <c r="E478" i="1"/>
  <c r="D478" i="1"/>
  <c r="I484" i="1"/>
  <c r="D476" i="1"/>
  <c r="F476" i="1"/>
  <c r="E476" i="1"/>
  <c r="I466" i="1"/>
  <c r="D458" i="1"/>
  <c r="F458" i="1"/>
  <c r="E458" i="1"/>
  <c r="P42" i="1"/>
  <c r="Q42" i="1"/>
  <c r="M43" i="1"/>
  <c r="K43" i="1"/>
  <c r="L43" i="1"/>
  <c r="N48" i="1"/>
  <c r="N169" i="1"/>
  <c r="K169" i="1"/>
  <c r="L169" i="1"/>
  <c r="P169" i="1"/>
  <c r="Q169" i="1"/>
  <c r="J170" i="1"/>
  <c r="S170" i="1"/>
  <c r="I481" i="1"/>
  <c r="F473" i="1"/>
  <c r="E473" i="1"/>
  <c r="D473" i="1"/>
  <c r="D467" i="1"/>
  <c r="F467" i="1"/>
  <c r="E467" i="1"/>
  <c r="I475" i="1"/>
  <c r="D484" i="1"/>
  <c r="F484" i="1"/>
  <c r="E484" i="1"/>
  <c r="I474" i="1"/>
  <c r="D466" i="1"/>
  <c r="F466" i="1"/>
  <c r="E466" i="1"/>
  <c r="D479" i="1"/>
  <c r="F479" i="1"/>
  <c r="E479" i="1"/>
  <c r="P43" i="1"/>
  <c r="Q43" i="1"/>
  <c r="K44" i="1"/>
  <c r="L44" i="1"/>
  <c r="M44" i="1"/>
  <c r="N49" i="1"/>
  <c r="K170" i="1"/>
  <c r="N170" i="1"/>
  <c r="P170" i="1"/>
  <c r="Q170" i="1"/>
  <c r="L170" i="1"/>
  <c r="J171" i="1"/>
  <c r="S171" i="1"/>
  <c r="D474" i="1"/>
  <c r="F474" i="1"/>
  <c r="E474" i="1"/>
  <c r="I482" i="1"/>
  <c r="D475" i="1"/>
  <c r="F475" i="1"/>
  <c r="E475" i="1"/>
  <c r="I483" i="1"/>
  <c r="F481" i="1"/>
  <c r="E481" i="1"/>
  <c r="D481" i="1"/>
  <c r="P44" i="1"/>
  <c r="Q44" i="1"/>
  <c r="M45" i="1"/>
  <c r="K45" i="1"/>
  <c r="L45" i="1"/>
  <c r="N50" i="1"/>
  <c r="J172" i="1"/>
  <c r="S172" i="1"/>
  <c r="N171" i="1"/>
  <c r="K171" i="1"/>
  <c r="P171" i="1"/>
  <c r="Q171" i="1"/>
  <c r="D483" i="1"/>
  <c r="F483" i="1"/>
  <c r="E483" i="1"/>
  <c r="F482" i="1"/>
  <c r="E482" i="1"/>
  <c r="D482" i="1"/>
  <c r="P45" i="1"/>
  <c r="Q45" i="1"/>
  <c r="M46" i="1"/>
  <c r="K46" i="1"/>
  <c r="L46" i="1"/>
  <c r="N51" i="1"/>
  <c r="L171" i="1"/>
  <c r="K172" i="1"/>
  <c r="L172" i="1"/>
  <c r="N172" i="1"/>
  <c r="P172" i="1"/>
  <c r="Q172" i="1"/>
  <c r="J173" i="1"/>
  <c r="S173" i="1"/>
  <c r="P46" i="1"/>
  <c r="Q46" i="1"/>
  <c r="M47" i="1"/>
  <c r="K47" i="1"/>
  <c r="L47" i="1"/>
  <c r="N52" i="1"/>
  <c r="S174" i="1"/>
  <c r="J174" i="1"/>
  <c r="K173" i="1"/>
  <c r="P173" i="1"/>
  <c r="Q173" i="1"/>
  <c r="L173" i="1"/>
  <c r="N173" i="1"/>
  <c r="P47" i="1"/>
  <c r="Q47" i="1"/>
  <c r="M48" i="1"/>
  <c r="K48" i="1"/>
  <c r="L48" i="1"/>
  <c r="N53" i="1"/>
  <c r="K174" i="1"/>
  <c r="L174" i="1"/>
  <c r="N174" i="1"/>
  <c r="S175" i="1"/>
  <c r="J175" i="1"/>
  <c r="P48" i="1"/>
  <c r="Q48" i="1"/>
  <c r="M49" i="1"/>
  <c r="K49" i="1"/>
  <c r="L49" i="1"/>
  <c r="N54" i="1"/>
  <c r="J176" i="1"/>
  <c r="S176" i="1"/>
  <c r="K175" i="1"/>
  <c r="L175" i="1"/>
  <c r="N175" i="1"/>
  <c r="P175" i="1"/>
  <c r="Q175" i="1"/>
  <c r="P174" i="1"/>
  <c r="Q174" i="1"/>
  <c r="P49" i="1"/>
  <c r="Q49" i="1"/>
  <c r="M50" i="1"/>
  <c r="K50" i="1"/>
  <c r="L50" i="1"/>
  <c r="N55" i="1"/>
  <c r="S177" i="1"/>
  <c r="J177" i="1"/>
  <c r="K176" i="1"/>
  <c r="P176" i="1"/>
  <c r="Q176" i="1"/>
  <c r="N176" i="1"/>
  <c r="L176" i="1"/>
  <c r="P50" i="1"/>
  <c r="Q50" i="1"/>
  <c r="M51" i="1"/>
  <c r="K51" i="1"/>
  <c r="L51" i="1"/>
  <c r="N56" i="1"/>
  <c r="N177" i="1"/>
  <c r="K177" i="1"/>
  <c r="L177" i="1"/>
  <c r="J178" i="1"/>
  <c r="S178" i="1"/>
  <c r="P51" i="1"/>
  <c r="Q51" i="1"/>
  <c r="M52" i="1"/>
  <c r="K52" i="1"/>
  <c r="L52" i="1"/>
  <c r="N57" i="1"/>
  <c r="K178" i="1"/>
  <c r="L178" i="1"/>
  <c r="N178" i="1"/>
  <c r="P178" i="1"/>
  <c r="Q178" i="1"/>
  <c r="P177" i="1"/>
  <c r="Q177" i="1"/>
  <c r="J179" i="1"/>
  <c r="S179" i="1"/>
  <c r="P52" i="1"/>
  <c r="Q52" i="1"/>
  <c r="K53" i="1"/>
  <c r="L53" i="1"/>
  <c r="M53" i="1"/>
  <c r="N58" i="1"/>
  <c r="J180" i="1"/>
  <c r="S180" i="1"/>
  <c r="N179" i="1"/>
  <c r="K179" i="1"/>
  <c r="L179" i="1"/>
  <c r="P179" i="1"/>
  <c r="Q179" i="1"/>
  <c r="P53" i="1"/>
  <c r="Q53" i="1"/>
  <c r="M54" i="1"/>
  <c r="K54" i="1"/>
  <c r="L54" i="1"/>
  <c r="N59" i="1"/>
  <c r="J181" i="1"/>
  <c r="S181" i="1"/>
  <c r="K180" i="1"/>
  <c r="L180" i="1"/>
  <c r="N180" i="1"/>
  <c r="P180" i="1"/>
  <c r="Q180" i="1"/>
  <c r="P54" i="1"/>
  <c r="Q54" i="1"/>
  <c r="M55" i="1"/>
  <c r="K55" i="1"/>
  <c r="L55" i="1"/>
  <c r="N60" i="1"/>
  <c r="S182" i="1"/>
  <c r="J182" i="1"/>
  <c r="N181" i="1"/>
  <c r="K181" i="1"/>
  <c r="P181" i="1"/>
  <c r="Q181" i="1"/>
  <c r="P55" i="1"/>
  <c r="Q55" i="1"/>
  <c r="M56" i="1"/>
  <c r="K56" i="1"/>
  <c r="L56" i="1"/>
  <c r="N61" i="1"/>
  <c r="J183" i="1"/>
  <c r="S183" i="1"/>
  <c r="N182" i="1"/>
  <c r="K182" i="1"/>
  <c r="L182" i="1"/>
  <c r="L181" i="1"/>
  <c r="P56" i="1"/>
  <c r="Q56" i="1"/>
  <c r="M57" i="1"/>
  <c r="K57" i="1"/>
  <c r="L57" i="1"/>
  <c r="N62" i="1"/>
  <c r="P182" i="1"/>
  <c r="Q182" i="1"/>
  <c r="N183" i="1"/>
  <c r="K183" i="1"/>
  <c r="L183" i="1"/>
  <c r="J184" i="1"/>
  <c r="S184" i="1"/>
  <c r="P57" i="1"/>
  <c r="Q57" i="1"/>
  <c r="M58" i="1"/>
  <c r="K58" i="1"/>
  <c r="L58" i="1"/>
  <c r="N63" i="1"/>
  <c r="N184" i="1"/>
  <c r="K184" i="1"/>
  <c r="L184" i="1"/>
  <c r="J185" i="1"/>
  <c r="S185" i="1"/>
  <c r="P183" i="1"/>
  <c r="Q183" i="1"/>
  <c r="P58" i="1"/>
  <c r="Q58" i="1"/>
  <c r="M59" i="1"/>
  <c r="K59" i="1"/>
  <c r="L59" i="1"/>
  <c r="N64" i="1"/>
  <c r="J186" i="1"/>
  <c r="S186" i="1"/>
  <c r="N185" i="1"/>
  <c r="K185" i="1"/>
  <c r="L185" i="1"/>
  <c r="P184" i="1"/>
  <c r="Q184" i="1"/>
  <c r="P59" i="1"/>
  <c r="Q59" i="1"/>
  <c r="K60" i="1"/>
  <c r="L60" i="1"/>
  <c r="M60" i="1"/>
  <c r="N65" i="1"/>
  <c r="P185" i="1"/>
  <c r="Q185" i="1"/>
  <c r="J187" i="1"/>
  <c r="S187" i="1"/>
  <c r="N186" i="1"/>
  <c r="K186" i="1"/>
  <c r="L186" i="1"/>
  <c r="P60" i="1"/>
  <c r="Q60" i="1"/>
  <c r="M61" i="1"/>
  <c r="K61" i="1"/>
  <c r="L61" i="1"/>
  <c r="N66" i="1"/>
  <c r="J188" i="1"/>
  <c r="S188" i="1"/>
  <c r="K187" i="1"/>
  <c r="N187" i="1"/>
  <c r="L187" i="1"/>
  <c r="P187" i="1"/>
  <c r="Q187" i="1"/>
  <c r="P186" i="1"/>
  <c r="Q186" i="1"/>
  <c r="P61" i="1"/>
  <c r="Q61" i="1"/>
  <c r="M62" i="1"/>
  <c r="K62" i="1"/>
  <c r="L62" i="1"/>
  <c r="N67" i="1"/>
  <c r="K188" i="1"/>
  <c r="N188" i="1"/>
  <c r="P188" i="1"/>
  <c r="Q188" i="1"/>
  <c r="L188" i="1"/>
  <c r="J189" i="1"/>
  <c r="S189" i="1"/>
  <c r="P62" i="1"/>
  <c r="Q62" i="1"/>
  <c r="M63" i="1"/>
  <c r="K63" i="1"/>
  <c r="L63" i="1"/>
  <c r="N68" i="1"/>
  <c r="J190" i="1"/>
  <c r="S190" i="1"/>
  <c r="K189" i="1"/>
  <c r="L189" i="1"/>
  <c r="N189" i="1"/>
  <c r="P189" i="1"/>
  <c r="Q189" i="1"/>
  <c r="P63" i="1"/>
  <c r="Q63" i="1"/>
  <c r="M64" i="1"/>
  <c r="K64" i="1"/>
  <c r="L64" i="1"/>
  <c r="N69" i="1"/>
  <c r="S191" i="1"/>
  <c r="J191" i="1"/>
  <c r="K190" i="1"/>
  <c r="P190" i="1"/>
  <c r="Q190" i="1"/>
  <c r="N190" i="1"/>
  <c r="P64" i="1"/>
  <c r="Q64" i="1"/>
  <c r="M65" i="1"/>
  <c r="K65" i="1"/>
  <c r="L65" i="1"/>
  <c r="N70" i="1"/>
  <c r="K191" i="1"/>
  <c r="L191" i="1"/>
  <c r="N191" i="1"/>
  <c r="J192" i="1"/>
  <c r="S192" i="1"/>
  <c r="L190" i="1"/>
  <c r="P65" i="1"/>
  <c r="Q65" i="1"/>
  <c r="M66" i="1"/>
  <c r="K66" i="1"/>
  <c r="L66" i="1"/>
  <c r="N71" i="1"/>
  <c r="K192" i="1"/>
  <c r="L192" i="1"/>
  <c r="N192" i="1"/>
  <c r="P192" i="1"/>
  <c r="Q192" i="1"/>
  <c r="J193" i="1"/>
  <c r="S193" i="1"/>
  <c r="P191" i="1"/>
  <c r="Q191" i="1"/>
  <c r="P66" i="1"/>
  <c r="Q66" i="1"/>
  <c r="M67" i="1"/>
  <c r="K67" i="1"/>
  <c r="L67" i="1"/>
  <c r="N72" i="1"/>
  <c r="K193" i="1"/>
  <c r="P193" i="1"/>
  <c r="Q193" i="1"/>
  <c r="N193" i="1"/>
  <c r="J194" i="1"/>
  <c r="S194" i="1"/>
  <c r="P67" i="1"/>
  <c r="Q67" i="1"/>
  <c r="M68" i="1"/>
  <c r="K68" i="1"/>
  <c r="L68" i="1"/>
  <c r="N73" i="1"/>
  <c r="J195" i="1"/>
  <c r="S195" i="1"/>
  <c r="K194" i="1"/>
  <c r="L194" i="1"/>
  <c r="P194" i="1"/>
  <c r="Q194" i="1"/>
  <c r="N194" i="1"/>
  <c r="L193" i="1"/>
  <c r="P68" i="1"/>
  <c r="Q68" i="1"/>
  <c r="M69" i="1"/>
  <c r="K69" i="1"/>
  <c r="L69" i="1"/>
  <c r="N74" i="1"/>
  <c r="K195" i="1"/>
  <c r="N195" i="1"/>
  <c r="L195" i="1"/>
  <c r="P195" i="1"/>
  <c r="Q195" i="1"/>
  <c r="S196" i="1"/>
  <c r="J196" i="1"/>
  <c r="P69" i="1"/>
  <c r="Q69" i="1"/>
  <c r="M70" i="1"/>
  <c r="K70" i="1"/>
  <c r="L70" i="1"/>
  <c r="N75" i="1"/>
  <c r="N196" i="1"/>
  <c r="K196" i="1"/>
  <c r="P196" i="1"/>
  <c r="Q196" i="1"/>
  <c r="J197" i="1"/>
  <c r="S197" i="1"/>
  <c r="P70" i="1"/>
  <c r="Q70" i="1"/>
  <c r="M71" i="1"/>
  <c r="K71" i="1"/>
  <c r="L71" i="1"/>
  <c r="N76" i="1"/>
  <c r="K197" i="1"/>
  <c r="L197" i="1"/>
  <c r="N197" i="1"/>
  <c r="P197" i="1"/>
  <c r="Q197" i="1"/>
  <c r="J198" i="1"/>
  <c r="S198" i="1"/>
  <c r="L196" i="1"/>
  <c r="P71" i="1"/>
  <c r="Q71" i="1"/>
  <c r="M72" i="1"/>
  <c r="K72" i="1"/>
  <c r="L72" i="1"/>
  <c r="N77" i="1"/>
  <c r="N198" i="1"/>
  <c r="K198" i="1"/>
  <c r="P198" i="1"/>
  <c r="Q198" i="1"/>
  <c r="S199" i="1"/>
  <c r="J199" i="1"/>
  <c r="P72" i="1"/>
  <c r="Q72" i="1"/>
  <c r="M73" i="1"/>
  <c r="K73" i="1"/>
  <c r="L73" i="1"/>
  <c r="N78" i="1"/>
  <c r="J200" i="1"/>
  <c r="S200" i="1"/>
  <c r="L198" i="1"/>
  <c r="K199" i="1"/>
  <c r="L199" i="1"/>
  <c r="N199" i="1"/>
  <c r="P73" i="1"/>
  <c r="Q73" i="1"/>
  <c r="M74" i="1"/>
  <c r="K74" i="1"/>
  <c r="L74" i="1"/>
  <c r="N79" i="1"/>
  <c r="P199" i="1"/>
  <c r="Q199" i="1"/>
  <c r="N200" i="1"/>
  <c r="K200" i="1"/>
  <c r="L200" i="1"/>
  <c r="S201" i="1"/>
  <c r="J201" i="1"/>
  <c r="P74" i="1"/>
  <c r="Q74" i="1"/>
  <c r="M75" i="1"/>
  <c r="K75" i="1"/>
  <c r="L75" i="1"/>
  <c r="N80" i="1"/>
  <c r="S202" i="1"/>
  <c r="J202" i="1"/>
  <c r="N201" i="1"/>
  <c r="K201" i="1"/>
  <c r="L201" i="1"/>
  <c r="P201" i="1"/>
  <c r="Q201" i="1"/>
  <c r="P200" i="1"/>
  <c r="Q200" i="1"/>
  <c r="P75" i="1"/>
  <c r="Q75" i="1"/>
  <c r="M76" i="1"/>
  <c r="K76" i="1"/>
  <c r="L76" i="1"/>
  <c r="N81" i="1"/>
  <c r="S203" i="1"/>
  <c r="J203" i="1"/>
  <c r="K202" i="1"/>
  <c r="N202" i="1"/>
  <c r="P202" i="1"/>
  <c r="Q202" i="1"/>
  <c r="L202" i="1"/>
  <c r="P76" i="1"/>
  <c r="Q76" i="1"/>
  <c r="M77" i="1"/>
  <c r="K77" i="1"/>
  <c r="L77" i="1"/>
  <c r="N82" i="1"/>
  <c r="N203" i="1"/>
  <c r="K203" i="1"/>
  <c r="L203" i="1"/>
  <c r="P203" i="1"/>
  <c r="Q203" i="1"/>
  <c r="J204" i="1"/>
  <c r="S204" i="1"/>
  <c r="P77" i="1"/>
  <c r="Q77" i="1"/>
  <c r="M78" i="1"/>
  <c r="K78" i="1"/>
  <c r="L78" i="1"/>
  <c r="N83" i="1"/>
  <c r="K204" i="1"/>
  <c r="L204" i="1"/>
  <c r="N204" i="1"/>
  <c r="P204" i="1"/>
  <c r="Q204" i="1"/>
  <c r="S205" i="1"/>
  <c r="J205" i="1"/>
  <c r="P78" i="1"/>
  <c r="Q78" i="1"/>
  <c r="M79" i="1"/>
  <c r="K79" i="1"/>
  <c r="L79" i="1"/>
  <c r="N84" i="1"/>
  <c r="S206" i="1"/>
  <c r="J206" i="1"/>
  <c r="K205" i="1"/>
  <c r="L205" i="1"/>
  <c r="N205" i="1"/>
  <c r="P205" i="1"/>
  <c r="Q205" i="1"/>
  <c r="P79" i="1"/>
  <c r="Q79" i="1"/>
  <c r="K80" i="1"/>
  <c r="L80" i="1"/>
  <c r="M80" i="1"/>
  <c r="N85" i="1"/>
  <c r="K206" i="1"/>
  <c r="P206" i="1"/>
  <c r="Q206" i="1"/>
  <c r="N206" i="1"/>
  <c r="L206" i="1"/>
  <c r="J207" i="1"/>
  <c r="S207" i="1"/>
  <c r="P80" i="1"/>
  <c r="Q80" i="1"/>
  <c r="M81" i="1"/>
  <c r="K81" i="1"/>
  <c r="L81" i="1"/>
  <c r="N86" i="1"/>
  <c r="J208" i="1"/>
  <c r="S208" i="1"/>
  <c r="N207" i="1"/>
  <c r="K207" i="1"/>
  <c r="P207" i="1"/>
  <c r="Q207" i="1"/>
  <c r="P81" i="1"/>
  <c r="Q81" i="1"/>
  <c r="M82" i="1"/>
  <c r="K82" i="1"/>
  <c r="L82" i="1"/>
  <c r="N87" i="1"/>
  <c r="L207" i="1"/>
  <c r="K208" i="1"/>
  <c r="P208" i="1"/>
  <c r="Q208" i="1"/>
  <c r="N208" i="1"/>
  <c r="L208" i="1"/>
  <c r="S209" i="1"/>
  <c r="J209" i="1"/>
  <c r="P82" i="1"/>
  <c r="Q82" i="1"/>
  <c r="M83" i="1"/>
  <c r="K83" i="1"/>
  <c r="L83" i="1"/>
  <c r="N88" i="1"/>
  <c r="S210" i="1"/>
  <c r="J210" i="1"/>
  <c r="N209" i="1"/>
  <c r="K209" i="1"/>
  <c r="L209" i="1"/>
  <c r="P209" i="1"/>
  <c r="Q209" i="1"/>
  <c r="P83" i="1"/>
  <c r="Q83" i="1"/>
  <c r="M84" i="1"/>
  <c r="K84" i="1"/>
  <c r="L84" i="1"/>
  <c r="N89" i="1"/>
  <c r="K210" i="1"/>
  <c r="N210" i="1"/>
  <c r="L210" i="1"/>
  <c r="P210" i="1"/>
  <c r="Q210" i="1"/>
  <c r="J211" i="1"/>
  <c r="S211" i="1"/>
  <c r="P84" i="1"/>
  <c r="Q84" i="1"/>
  <c r="M85" i="1"/>
  <c r="K85" i="1"/>
  <c r="L85" i="1"/>
  <c r="N90" i="1"/>
  <c r="J212" i="1"/>
  <c r="S212" i="1"/>
  <c r="N211" i="1"/>
  <c r="K211" i="1"/>
  <c r="L211" i="1"/>
  <c r="P211" i="1"/>
  <c r="Q211" i="1"/>
  <c r="P85" i="1"/>
  <c r="Q85" i="1"/>
  <c r="M86" i="1"/>
  <c r="K86" i="1"/>
  <c r="L86" i="1"/>
  <c r="N91" i="1"/>
  <c r="J213" i="1"/>
  <c r="S213" i="1"/>
  <c r="K212" i="1"/>
  <c r="P212" i="1"/>
  <c r="Q212" i="1"/>
  <c r="L212" i="1"/>
  <c r="N212" i="1"/>
  <c r="P86" i="1"/>
  <c r="Q86" i="1"/>
  <c r="M87" i="1"/>
  <c r="K87" i="1"/>
  <c r="L87" i="1"/>
  <c r="N92" i="1"/>
  <c r="K213" i="1"/>
  <c r="P213" i="1"/>
  <c r="Q213" i="1"/>
  <c r="L213" i="1"/>
  <c r="N213" i="1"/>
  <c r="J214" i="1"/>
  <c r="S214" i="1"/>
  <c r="P87" i="1"/>
  <c r="Q87" i="1"/>
  <c r="M88" i="1"/>
  <c r="K88" i="1"/>
  <c r="L88" i="1"/>
  <c r="N93" i="1"/>
  <c r="K214" i="1"/>
  <c r="P214" i="1"/>
  <c r="Q214" i="1"/>
  <c r="L214" i="1"/>
  <c r="N214" i="1"/>
  <c r="S215" i="1"/>
  <c r="J215" i="1"/>
  <c r="P88" i="1"/>
  <c r="Q88" i="1"/>
  <c r="M89" i="1"/>
  <c r="K89" i="1"/>
  <c r="L89" i="1"/>
  <c r="J24" i="1"/>
  <c r="J22" i="1"/>
  <c r="K22" i="1"/>
  <c r="J23" i="1"/>
  <c r="N23" i="1"/>
  <c r="J21" i="1"/>
  <c r="N21" i="1"/>
  <c r="J20" i="1"/>
  <c r="J216" i="1"/>
  <c r="S216" i="1"/>
  <c r="K215" i="1"/>
  <c r="L215" i="1"/>
  <c r="N215" i="1"/>
  <c r="P215" i="1"/>
  <c r="Q215" i="1"/>
  <c r="M90" i="1"/>
  <c r="K90" i="1"/>
  <c r="L90" i="1"/>
  <c r="P89" i="1"/>
  <c r="Q89" i="1"/>
  <c r="N20" i="1"/>
  <c r="K24" i="1"/>
  <c r="L24" i="1"/>
  <c r="K20" i="1"/>
  <c r="L20" i="1"/>
  <c r="L22" i="1"/>
  <c r="K23" i="1"/>
  <c r="L23" i="1"/>
  <c r="P22" i="1"/>
  <c r="Q22" i="1"/>
  <c r="N22" i="1"/>
  <c r="N24" i="1"/>
  <c r="K21" i="1"/>
  <c r="L21" i="1"/>
  <c r="K216" i="1"/>
  <c r="L216" i="1"/>
  <c r="N216" i="1"/>
  <c r="J217" i="1"/>
  <c r="S217" i="1"/>
  <c r="P90" i="1"/>
  <c r="Q90" i="1"/>
  <c r="M91" i="1"/>
  <c r="K91" i="1"/>
  <c r="L91" i="1"/>
  <c r="AE114" i="1"/>
  <c r="AE115" i="1"/>
  <c r="P24" i="1"/>
  <c r="Q24" i="1"/>
  <c r="P23" i="1"/>
  <c r="Q23" i="1"/>
  <c r="P21" i="1"/>
  <c r="Q21" i="1"/>
  <c r="P20" i="1"/>
  <c r="Q20" i="1"/>
  <c r="J218" i="1"/>
  <c r="S218" i="1"/>
  <c r="K217" i="1"/>
  <c r="L217" i="1"/>
  <c r="N217" i="1"/>
  <c r="P216" i="1"/>
  <c r="Q216" i="1"/>
  <c r="P91" i="1"/>
  <c r="Q91" i="1"/>
  <c r="M92" i="1"/>
  <c r="K92" i="1"/>
  <c r="L92" i="1"/>
  <c r="J219" i="1"/>
  <c r="S219" i="1"/>
  <c r="P217" i="1"/>
  <c r="Q217" i="1"/>
  <c r="N218" i="1"/>
  <c r="K218" i="1"/>
  <c r="L218" i="1"/>
  <c r="P92" i="1"/>
  <c r="Q92" i="1"/>
  <c r="M93" i="1"/>
  <c r="K93" i="1"/>
  <c r="L93" i="1"/>
  <c r="P218" i="1"/>
  <c r="Q218" i="1"/>
  <c r="J220" i="1"/>
  <c r="S220" i="1"/>
  <c r="K219" i="1"/>
  <c r="N219" i="1"/>
  <c r="L219" i="1"/>
  <c r="P219" i="1"/>
  <c r="Q219" i="1"/>
  <c r="P93" i="1"/>
  <c r="Q93" i="1"/>
  <c r="K94" i="1"/>
  <c r="L94" i="1"/>
  <c r="M94" i="1"/>
  <c r="J221" i="1"/>
  <c r="S221" i="1"/>
  <c r="K220" i="1"/>
  <c r="P220" i="1"/>
  <c r="Q220" i="1"/>
  <c r="N220" i="1"/>
  <c r="L220" i="1"/>
  <c r="P94" i="1"/>
  <c r="Q94" i="1"/>
  <c r="K95" i="1"/>
  <c r="L95" i="1"/>
  <c r="M95" i="1"/>
  <c r="K221" i="1"/>
  <c r="L221" i="1"/>
  <c r="N221" i="1"/>
  <c r="S222" i="1"/>
  <c r="J222" i="1"/>
  <c r="P95" i="1"/>
  <c r="Q95" i="1"/>
  <c r="K96" i="1"/>
  <c r="L96" i="1"/>
  <c r="M96" i="1"/>
  <c r="K222" i="1"/>
  <c r="P222" i="1"/>
  <c r="Q222" i="1"/>
  <c r="L222" i="1"/>
  <c r="N222" i="1"/>
  <c r="S223" i="1"/>
  <c r="J223" i="1"/>
  <c r="P221" i="1"/>
  <c r="Q221" i="1"/>
  <c r="P96" i="1"/>
  <c r="Q96" i="1"/>
  <c r="K97" i="1"/>
  <c r="L97" i="1"/>
  <c r="M97" i="1"/>
  <c r="J224" i="1"/>
  <c r="S224" i="1"/>
  <c r="K223" i="1"/>
  <c r="L223" i="1"/>
  <c r="N223" i="1"/>
  <c r="P97" i="1"/>
  <c r="Q97" i="1"/>
  <c r="K98" i="1"/>
  <c r="L98" i="1"/>
  <c r="M98" i="1"/>
  <c r="P223" i="1"/>
  <c r="Q223" i="1"/>
  <c r="K224" i="1"/>
  <c r="L224" i="1"/>
  <c r="N224" i="1"/>
  <c r="P224" i="1"/>
  <c r="Q224" i="1"/>
  <c r="S225" i="1"/>
  <c r="J225" i="1"/>
  <c r="P98" i="1"/>
  <c r="Q98" i="1"/>
  <c r="M99" i="1"/>
  <c r="K99" i="1"/>
  <c r="L99" i="1"/>
  <c r="K225" i="1"/>
  <c r="P225" i="1"/>
  <c r="Q225" i="1"/>
  <c r="N225" i="1"/>
  <c r="S226" i="1"/>
  <c r="J226" i="1"/>
  <c r="P99" i="1"/>
  <c r="Q99" i="1"/>
  <c r="M100" i="1"/>
  <c r="K100" i="1"/>
  <c r="L100" i="1"/>
  <c r="K226" i="1"/>
  <c r="L226" i="1"/>
  <c r="P226" i="1"/>
  <c r="Q226" i="1"/>
  <c r="N226" i="1"/>
  <c r="J227" i="1"/>
  <c r="S227" i="1"/>
  <c r="L225" i="1"/>
  <c r="P100" i="1"/>
  <c r="Q100" i="1"/>
  <c r="K101" i="1"/>
  <c r="L101" i="1"/>
  <c r="M101" i="1"/>
  <c r="J228" i="1"/>
  <c r="S228" i="1"/>
  <c r="K227" i="1"/>
  <c r="P227" i="1"/>
  <c r="Q227" i="1"/>
  <c r="N227" i="1"/>
  <c r="L227" i="1"/>
  <c r="P101" i="1"/>
  <c r="Q101" i="1"/>
  <c r="K102" i="1"/>
  <c r="L102" i="1"/>
  <c r="M102" i="1"/>
  <c r="J229" i="1"/>
  <c r="S229" i="1"/>
  <c r="N228" i="1"/>
  <c r="K228" i="1"/>
  <c r="L228" i="1"/>
  <c r="P102" i="1"/>
  <c r="Q102" i="1"/>
  <c r="M103" i="1"/>
  <c r="K103" i="1"/>
  <c r="L103" i="1"/>
  <c r="P228" i="1"/>
  <c r="Q228" i="1"/>
  <c r="J230" i="1"/>
  <c r="S230" i="1"/>
  <c r="K229" i="1"/>
  <c r="L229" i="1"/>
  <c r="N229" i="1"/>
  <c r="P229" i="1"/>
  <c r="Q229" i="1"/>
  <c r="P103" i="1"/>
  <c r="Q103" i="1"/>
  <c r="K104" i="1"/>
  <c r="L104" i="1"/>
  <c r="M104" i="1"/>
  <c r="J231" i="1"/>
  <c r="S231" i="1"/>
  <c r="N230" i="1"/>
  <c r="K230" i="1"/>
  <c r="P230" i="1"/>
  <c r="Q230" i="1"/>
  <c r="P104" i="1"/>
  <c r="Q104" i="1"/>
  <c r="K105" i="1"/>
  <c r="L105" i="1"/>
  <c r="M105" i="1"/>
  <c r="L230" i="1"/>
  <c r="J232" i="1"/>
  <c r="S232" i="1"/>
  <c r="N231" i="1"/>
  <c r="K231" i="1"/>
  <c r="P231" i="1"/>
  <c r="Q231" i="1"/>
  <c r="P105" i="1"/>
  <c r="Q105" i="1"/>
  <c r="M106" i="1"/>
  <c r="K106" i="1"/>
  <c r="L106" i="1"/>
  <c r="L231" i="1"/>
  <c r="J233" i="1"/>
  <c r="S233" i="1"/>
  <c r="N232" i="1"/>
  <c r="K232" i="1"/>
  <c r="L232" i="1"/>
  <c r="P232" i="1"/>
  <c r="Q232" i="1"/>
  <c r="P106" i="1"/>
  <c r="Q106" i="1"/>
  <c r="M107" i="1"/>
  <c r="K107" i="1"/>
  <c r="L107" i="1"/>
  <c r="N233" i="1"/>
  <c r="K233" i="1"/>
  <c r="L233" i="1"/>
  <c r="P233" i="1"/>
  <c r="Q233" i="1"/>
  <c r="J234" i="1"/>
  <c r="S234" i="1"/>
  <c r="P107" i="1"/>
  <c r="Q107" i="1"/>
  <c r="M108" i="1"/>
  <c r="K108" i="1"/>
  <c r="L108" i="1"/>
  <c r="K234" i="1"/>
  <c r="N234" i="1"/>
  <c r="P234" i="1"/>
  <c r="Q234" i="1"/>
  <c r="L234" i="1"/>
  <c r="S235" i="1"/>
  <c r="J235" i="1"/>
  <c r="P108" i="1"/>
  <c r="Q108" i="1"/>
  <c r="K109" i="1"/>
  <c r="L109" i="1"/>
  <c r="M109" i="1"/>
  <c r="J236" i="1"/>
  <c r="S236" i="1"/>
  <c r="K235" i="1"/>
  <c r="L235" i="1"/>
  <c r="N235" i="1"/>
  <c r="P235" i="1"/>
  <c r="Q235" i="1"/>
  <c r="P109" i="1"/>
  <c r="Q109" i="1"/>
  <c r="M110" i="1"/>
  <c r="K110" i="1"/>
  <c r="L110" i="1"/>
  <c r="K236" i="1"/>
  <c r="L236" i="1"/>
  <c r="N236" i="1"/>
  <c r="P236" i="1"/>
  <c r="Q236" i="1"/>
  <c r="J237" i="1"/>
  <c r="S237" i="1"/>
  <c r="P110" i="1"/>
  <c r="Q110" i="1"/>
  <c r="K111" i="1"/>
  <c r="L111" i="1"/>
  <c r="M111" i="1"/>
  <c r="S238" i="1"/>
  <c r="J238" i="1"/>
  <c r="N237" i="1"/>
  <c r="K237" i="1"/>
  <c r="P237" i="1"/>
  <c r="Q237" i="1"/>
  <c r="P111" i="1"/>
  <c r="Q111" i="1"/>
  <c r="K112" i="1"/>
  <c r="L112" i="1"/>
  <c r="M112" i="1"/>
  <c r="S239" i="1"/>
  <c r="J239" i="1"/>
  <c r="K238" i="1"/>
  <c r="P238" i="1"/>
  <c r="Q238" i="1"/>
  <c r="N238" i="1"/>
  <c r="L237" i="1"/>
  <c r="P112" i="1"/>
  <c r="Q112" i="1"/>
  <c r="K113" i="1"/>
  <c r="L113" i="1"/>
  <c r="M113" i="1"/>
  <c r="J240" i="1"/>
  <c r="S240" i="1"/>
  <c r="L238" i="1"/>
  <c r="K239" i="1"/>
  <c r="P239" i="1"/>
  <c r="Q239" i="1"/>
  <c r="N239" i="1"/>
  <c r="P113" i="1"/>
  <c r="Q113" i="1"/>
  <c r="K114" i="1"/>
  <c r="L114" i="1"/>
  <c r="M114" i="1"/>
  <c r="L239" i="1"/>
  <c r="S241" i="1"/>
  <c r="J241" i="1"/>
  <c r="K240" i="1"/>
  <c r="P240" i="1"/>
  <c r="Q240" i="1"/>
  <c r="N240" i="1"/>
  <c r="L240" i="1"/>
  <c r="P114" i="1"/>
  <c r="Q114" i="1"/>
  <c r="K115" i="1"/>
  <c r="L115" i="1"/>
  <c r="M115" i="1"/>
  <c r="N241" i="1"/>
  <c r="K241" i="1"/>
  <c r="L241" i="1"/>
  <c r="P241" i="1"/>
  <c r="Q241" i="1"/>
  <c r="J242" i="1"/>
  <c r="S242" i="1"/>
  <c r="P115" i="1"/>
  <c r="Q115" i="1"/>
  <c r="M116" i="1"/>
  <c r="K116" i="1"/>
  <c r="L116" i="1"/>
  <c r="S243" i="1"/>
  <c r="J243" i="1"/>
  <c r="K242" i="1"/>
  <c r="L242" i="1"/>
  <c r="N242" i="1"/>
  <c r="P116" i="1"/>
  <c r="Q116" i="1"/>
  <c r="K117" i="1"/>
  <c r="L117" i="1"/>
  <c r="M117" i="1"/>
  <c r="S244" i="1"/>
  <c r="J244" i="1"/>
  <c r="N243" i="1"/>
  <c r="K243" i="1"/>
  <c r="L243" i="1"/>
  <c r="P242" i="1"/>
  <c r="Q242" i="1"/>
  <c r="P117" i="1"/>
  <c r="Q117" i="1"/>
  <c r="M118" i="1"/>
  <c r="K118" i="1"/>
  <c r="L118" i="1"/>
  <c r="P243" i="1"/>
  <c r="Q243" i="1"/>
  <c r="N244" i="1"/>
  <c r="K244" i="1"/>
  <c r="L244" i="1"/>
  <c r="P244" i="1"/>
  <c r="Q244" i="1"/>
  <c r="J245" i="1"/>
  <c r="S245" i="1"/>
  <c r="P118" i="1"/>
  <c r="Q118" i="1"/>
  <c r="K119" i="1"/>
  <c r="L119" i="1"/>
  <c r="M119" i="1"/>
  <c r="N245" i="1"/>
  <c r="K245" i="1"/>
  <c r="L245" i="1"/>
  <c r="P245" i="1"/>
  <c r="Q245" i="1"/>
  <c r="J246" i="1"/>
  <c r="S246" i="1"/>
  <c r="P119" i="1"/>
  <c r="Q119" i="1"/>
  <c r="K120" i="1"/>
  <c r="L120" i="1"/>
  <c r="M120" i="1"/>
  <c r="N246" i="1"/>
  <c r="K246" i="1"/>
  <c r="P246" i="1"/>
  <c r="Q246" i="1"/>
  <c r="L246" i="1"/>
  <c r="J247" i="1"/>
  <c r="S247" i="1"/>
  <c r="P120" i="1"/>
  <c r="Q120" i="1"/>
  <c r="K121" i="1"/>
  <c r="L121" i="1"/>
  <c r="M121" i="1"/>
  <c r="S248" i="1"/>
  <c r="J248" i="1"/>
  <c r="K247" i="1"/>
  <c r="P247" i="1"/>
  <c r="Q247" i="1"/>
  <c r="N247" i="1"/>
  <c r="P121" i="1"/>
  <c r="Q121" i="1"/>
  <c r="K122" i="1"/>
  <c r="L122" i="1"/>
  <c r="M122" i="1"/>
  <c r="L247" i="1"/>
  <c r="N248" i="1"/>
  <c r="K248" i="1"/>
  <c r="P248" i="1"/>
  <c r="Q248" i="1"/>
  <c r="L248" i="1"/>
  <c r="J249" i="1"/>
  <c r="S249" i="1"/>
  <c r="P122" i="1"/>
  <c r="Q122" i="1"/>
  <c r="K123" i="1"/>
  <c r="L123" i="1"/>
  <c r="M123" i="1"/>
  <c r="N249" i="1"/>
  <c r="K249" i="1"/>
  <c r="L249" i="1"/>
  <c r="J250" i="1"/>
  <c r="S250" i="1"/>
  <c r="P123" i="1"/>
  <c r="Q123" i="1"/>
  <c r="M124" i="1"/>
  <c r="K124" i="1"/>
  <c r="L124" i="1"/>
  <c r="X114" i="1"/>
  <c r="J251" i="1"/>
  <c r="S251" i="1"/>
  <c r="N250" i="1"/>
  <c r="K250" i="1"/>
  <c r="L250" i="1"/>
  <c r="P249" i="1"/>
  <c r="Q249" i="1"/>
  <c r="AA114" i="1"/>
  <c r="X116" i="1"/>
  <c r="P124" i="1"/>
  <c r="Q124" i="1"/>
  <c r="P250" i="1"/>
  <c r="Q250" i="1"/>
  <c r="J252" i="1"/>
  <c r="S252" i="1"/>
  <c r="K251" i="1"/>
  <c r="N251" i="1"/>
  <c r="P251" i="1"/>
  <c r="Q251" i="1"/>
  <c r="L251" i="1"/>
  <c r="S253" i="1"/>
  <c r="J253" i="1"/>
  <c r="K252" i="1"/>
  <c r="L252" i="1"/>
  <c r="N252" i="1"/>
  <c r="P252" i="1"/>
  <c r="Q252" i="1"/>
  <c r="K253" i="1"/>
  <c r="L253" i="1"/>
  <c r="N253" i="1"/>
  <c r="P253" i="1"/>
  <c r="Q253" i="1"/>
  <c r="S254" i="1"/>
  <c r="J254" i="1"/>
  <c r="J255" i="1"/>
  <c r="S255" i="1"/>
  <c r="K254" i="1"/>
  <c r="P254" i="1"/>
  <c r="Q254" i="1"/>
  <c r="N254" i="1"/>
  <c r="L254" i="1"/>
  <c r="J256" i="1"/>
  <c r="S256" i="1"/>
  <c r="K255" i="1"/>
  <c r="L255" i="1"/>
  <c r="N255" i="1"/>
  <c r="P255" i="1"/>
  <c r="Q255" i="1"/>
  <c r="K256" i="1"/>
  <c r="L256" i="1"/>
  <c r="N256" i="1"/>
  <c r="P256" i="1"/>
  <c r="Q256" i="1"/>
  <c r="J257" i="1"/>
  <c r="S257" i="1"/>
  <c r="J258" i="1"/>
  <c r="S258" i="1"/>
  <c r="K257" i="1"/>
  <c r="N257" i="1"/>
  <c r="L257" i="1"/>
  <c r="P257" i="1"/>
  <c r="Q257" i="1"/>
  <c r="K258" i="1"/>
  <c r="L258" i="1"/>
  <c r="N258" i="1"/>
  <c r="J259" i="1"/>
  <c r="S259" i="1"/>
  <c r="K259" i="1"/>
  <c r="N259" i="1"/>
  <c r="P259" i="1"/>
  <c r="Q259" i="1"/>
  <c r="L259" i="1"/>
  <c r="P258" i="1"/>
  <c r="Q258" i="1"/>
  <c r="J260" i="1"/>
  <c r="S260" i="1"/>
  <c r="N260" i="1"/>
  <c r="K260" i="1"/>
  <c r="L260" i="1"/>
  <c r="P260" i="1"/>
  <c r="Q260" i="1"/>
  <c r="J261" i="1"/>
  <c r="S261" i="1"/>
  <c r="S262" i="1"/>
  <c r="J262" i="1"/>
  <c r="K261" i="1"/>
  <c r="L261" i="1"/>
  <c r="N261" i="1"/>
  <c r="N262" i="1"/>
  <c r="K262" i="1"/>
  <c r="P262" i="1"/>
  <c r="Q262" i="1"/>
  <c r="L262" i="1"/>
  <c r="P261" i="1"/>
  <c r="Q261" i="1"/>
  <c r="S263" i="1"/>
  <c r="J263" i="1"/>
  <c r="S264" i="1"/>
  <c r="J264" i="1"/>
  <c r="K263" i="1"/>
  <c r="P263" i="1"/>
  <c r="Q263" i="1"/>
  <c r="L263" i="1"/>
  <c r="N263" i="1"/>
  <c r="N264" i="1"/>
  <c r="K264" i="1"/>
  <c r="L264" i="1"/>
  <c r="J265" i="1"/>
  <c r="S265" i="1"/>
  <c r="J266" i="1"/>
  <c r="S266" i="1"/>
  <c r="N265" i="1"/>
  <c r="K265" i="1"/>
  <c r="P265" i="1"/>
  <c r="Q265" i="1"/>
  <c r="P264" i="1"/>
  <c r="Q264" i="1"/>
  <c r="L265" i="1"/>
  <c r="J267" i="1"/>
  <c r="S267" i="1"/>
  <c r="K266" i="1"/>
  <c r="N266" i="1"/>
  <c r="P266" i="1"/>
  <c r="Q266" i="1"/>
  <c r="L266" i="1"/>
  <c r="K267" i="1"/>
  <c r="P267" i="1"/>
  <c r="Q267" i="1"/>
  <c r="N267" i="1"/>
  <c r="L267" i="1"/>
  <c r="J268" i="1"/>
  <c r="S268" i="1"/>
  <c r="K268" i="1"/>
  <c r="N268" i="1"/>
  <c r="L268" i="1"/>
  <c r="P268" i="1"/>
  <c r="Q268" i="1"/>
  <c r="J269" i="1"/>
  <c r="S269" i="1"/>
  <c r="K269" i="1"/>
  <c r="P269" i="1"/>
  <c r="Q269" i="1"/>
  <c r="L269" i="1"/>
  <c r="N269" i="1"/>
  <c r="S270" i="1"/>
  <c r="J270" i="1"/>
  <c r="K270" i="1"/>
  <c r="P270" i="1"/>
  <c r="Q270" i="1"/>
  <c r="N270" i="1"/>
  <c r="L270" i="1"/>
  <c r="J271" i="1"/>
  <c r="S271" i="1"/>
  <c r="S272" i="1"/>
  <c r="J272" i="1"/>
  <c r="N271" i="1"/>
  <c r="K271" i="1"/>
  <c r="P271" i="1"/>
  <c r="Q271" i="1"/>
  <c r="L271" i="1"/>
  <c r="K272" i="1"/>
  <c r="P272" i="1"/>
  <c r="Q272" i="1"/>
  <c r="N272" i="1"/>
  <c r="L272" i="1"/>
  <c r="J273" i="1"/>
  <c r="S273" i="1"/>
  <c r="N273" i="1"/>
  <c r="K273" i="1"/>
  <c r="L273" i="1"/>
  <c r="S274" i="1"/>
  <c r="J274" i="1"/>
  <c r="J275" i="1"/>
  <c r="S275" i="1"/>
  <c r="K274" i="1"/>
  <c r="L274" i="1"/>
  <c r="N274" i="1"/>
  <c r="P273" i="1"/>
  <c r="Q273" i="1"/>
  <c r="N275" i="1"/>
  <c r="K275" i="1"/>
  <c r="L275" i="1"/>
  <c r="P274" i="1"/>
  <c r="Q274" i="1"/>
  <c r="S276" i="1"/>
  <c r="J276" i="1"/>
  <c r="K276" i="1"/>
  <c r="L276" i="1"/>
  <c r="N276" i="1"/>
  <c r="P276" i="1"/>
  <c r="Q276" i="1"/>
  <c r="S277" i="1"/>
  <c r="J277" i="1"/>
  <c r="P275" i="1"/>
  <c r="Q275" i="1"/>
  <c r="S278" i="1"/>
  <c r="J278" i="1"/>
  <c r="K277" i="1"/>
  <c r="L277" i="1"/>
  <c r="N277" i="1"/>
  <c r="P277" i="1"/>
  <c r="Q277" i="1"/>
  <c r="N278" i="1"/>
  <c r="K278" i="1"/>
  <c r="P278" i="1"/>
  <c r="Q278" i="1"/>
  <c r="J279" i="1"/>
  <c r="S279" i="1"/>
  <c r="K279" i="1"/>
  <c r="L279" i="1"/>
  <c r="N279" i="1"/>
  <c r="P279" i="1"/>
  <c r="Q279" i="1"/>
  <c r="S280" i="1"/>
  <c r="J280" i="1"/>
  <c r="L278" i="1"/>
  <c r="K280" i="1"/>
  <c r="L280" i="1"/>
  <c r="N280" i="1"/>
  <c r="P280" i="1"/>
  <c r="Q280" i="1"/>
  <c r="S281" i="1"/>
  <c r="J281" i="1"/>
  <c r="N281" i="1"/>
  <c r="K281" i="1"/>
  <c r="L281" i="1"/>
  <c r="J282" i="1"/>
  <c r="S282" i="1"/>
  <c r="N282" i="1"/>
  <c r="K282" i="1"/>
  <c r="L282" i="1"/>
  <c r="J283" i="1"/>
  <c r="S283" i="1"/>
  <c r="P281" i="1"/>
  <c r="Q281" i="1"/>
  <c r="J284" i="1"/>
  <c r="S284" i="1"/>
  <c r="K283" i="1"/>
  <c r="N283" i="1"/>
  <c r="L283" i="1"/>
  <c r="P283" i="1"/>
  <c r="Q283" i="1"/>
  <c r="P282" i="1"/>
  <c r="Q282" i="1"/>
  <c r="K284" i="1"/>
  <c r="L284" i="1"/>
  <c r="P284" i="1"/>
  <c r="Q284" i="1"/>
  <c r="N284" i="1"/>
  <c r="S285" i="1"/>
  <c r="J285" i="1"/>
  <c r="S286" i="1"/>
  <c r="J286" i="1"/>
  <c r="K285" i="1"/>
  <c r="L285" i="1"/>
  <c r="N285" i="1"/>
  <c r="N286" i="1"/>
  <c r="K286" i="1"/>
  <c r="P286" i="1"/>
  <c r="Q286" i="1"/>
  <c r="S287" i="1"/>
  <c r="J287" i="1"/>
  <c r="P285" i="1"/>
  <c r="Q285" i="1"/>
  <c r="J288" i="1"/>
  <c r="S288" i="1"/>
  <c r="K287" i="1"/>
  <c r="P287" i="1"/>
  <c r="Q287" i="1"/>
  <c r="L287" i="1"/>
  <c r="N287" i="1"/>
  <c r="L286" i="1"/>
  <c r="N288" i="1"/>
  <c r="K288" i="1"/>
  <c r="L288" i="1"/>
  <c r="S289" i="1"/>
  <c r="J289" i="1"/>
  <c r="K289" i="1"/>
  <c r="P289" i="1"/>
  <c r="Q289" i="1"/>
  <c r="N289" i="1"/>
  <c r="J290" i="1"/>
  <c r="S290" i="1"/>
  <c r="P288" i="1"/>
  <c r="Q288" i="1"/>
  <c r="J291" i="1"/>
  <c r="S291" i="1"/>
  <c r="N290" i="1"/>
  <c r="K290" i="1"/>
  <c r="L290" i="1"/>
  <c r="L289" i="1"/>
  <c r="P290" i="1"/>
  <c r="Q290" i="1"/>
  <c r="J292" i="1"/>
  <c r="S292" i="1"/>
  <c r="K291" i="1"/>
  <c r="N291" i="1"/>
  <c r="P291" i="1"/>
  <c r="Q291" i="1"/>
  <c r="L291" i="1"/>
  <c r="K292" i="1"/>
  <c r="N292" i="1"/>
  <c r="P292" i="1"/>
  <c r="Q292" i="1"/>
  <c r="L292" i="1"/>
  <c r="J293" i="1"/>
  <c r="S293" i="1"/>
  <c r="S294" i="1"/>
  <c r="J294" i="1"/>
  <c r="K293" i="1"/>
  <c r="N293" i="1"/>
  <c r="P293" i="1"/>
  <c r="Q293" i="1"/>
  <c r="L293" i="1"/>
  <c r="N294" i="1"/>
  <c r="K294" i="1"/>
  <c r="L294" i="1"/>
  <c r="P294" i="1"/>
  <c r="Q294" i="1"/>
  <c r="J295" i="1"/>
  <c r="S295" i="1"/>
  <c r="J296" i="1"/>
  <c r="S296" i="1"/>
  <c r="N295" i="1"/>
  <c r="K295" i="1"/>
  <c r="P295" i="1"/>
  <c r="Q295" i="1"/>
  <c r="L295" i="1"/>
  <c r="K296" i="1"/>
  <c r="L296" i="1"/>
  <c r="P296" i="1"/>
  <c r="Q296" i="1"/>
  <c r="N296" i="1"/>
  <c r="J297" i="1"/>
  <c r="S297" i="1"/>
  <c r="N297" i="1"/>
  <c r="K297" i="1"/>
  <c r="L297" i="1"/>
  <c r="S298" i="1"/>
  <c r="J298" i="1"/>
  <c r="J299" i="1"/>
  <c r="S299" i="1"/>
  <c r="K298" i="1"/>
  <c r="N298" i="1"/>
  <c r="P298" i="1"/>
  <c r="Q298" i="1"/>
  <c r="L298" i="1"/>
  <c r="P297" i="1"/>
  <c r="Q297" i="1"/>
  <c r="S300" i="1"/>
  <c r="J300" i="1"/>
  <c r="K299" i="1"/>
  <c r="L299" i="1"/>
  <c r="N299" i="1"/>
  <c r="P299" i="1"/>
  <c r="Q299" i="1"/>
  <c r="K300" i="1"/>
  <c r="L300" i="1"/>
  <c r="P300" i="1"/>
  <c r="Q300" i="1"/>
  <c r="N300" i="1"/>
  <c r="J301" i="1"/>
  <c r="S301" i="1"/>
  <c r="K301" i="1"/>
  <c r="P301" i="1"/>
  <c r="Q301" i="1"/>
  <c r="L301" i="1"/>
  <c r="N301" i="1"/>
  <c r="J302" i="1"/>
  <c r="S302" i="1"/>
  <c r="J303" i="1"/>
  <c r="S303" i="1"/>
  <c r="N302" i="1"/>
  <c r="K302" i="1"/>
  <c r="L302" i="1"/>
  <c r="P302" i="1"/>
  <c r="Q302" i="1"/>
  <c r="K303" i="1"/>
  <c r="P303" i="1"/>
  <c r="Q303" i="1"/>
  <c r="N303" i="1"/>
  <c r="S304" i="1"/>
  <c r="J304" i="1"/>
  <c r="K304" i="1"/>
  <c r="L304" i="1"/>
  <c r="N304" i="1"/>
  <c r="L303" i="1"/>
  <c r="J305" i="1"/>
  <c r="S305" i="1"/>
  <c r="J306" i="1"/>
  <c r="S306" i="1"/>
  <c r="N305" i="1"/>
  <c r="K305" i="1"/>
  <c r="L305" i="1"/>
  <c r="P304" i="1"/>
  <c r="Q304" i="1"/>
  <c r="P305" i="1"/>
  <c r="Q305" i="1"/>
  <c r="N306" i="1"/>
  <c r="K306" i="1"/>
  <c r="P306" i="1"/>
  <c r="Q306" i="1"/>
  <c r="L306" i="1"/>
  <c r="J307" i="1"/>
  <c r="S307" i="1"/>
  <c r="K307" i="1"/>
  <c r="L307" i="1"/>
  <c r="N307" i="1"/>
  <c r="P307" i="1"/>
  <c r="Q307" i="1"/>
  <c r="J308" i="1"/>
  <c r="S308" i="1"/>
  <c r="J309" i="1"/>
  <c r="S309" i="1"/>
  <c r="K308" i="1"/>
  <c r="L308" i="1"/>
  <c r="N308" i="1"/>
  <c r="P308" i="1"/>
  <c r="Q308" i="1"/>
  <c r="K309" i="1"/>
  <c r="L309" i="1"/>
  <c r="N309" i="1"/>
  <c r="S310" i="1"/>
  <c r="J310" i="1"/>
  <c r="N310" i="1"/>
  <c r="K310" i="1"/>
  <c r="L310" i="1"/>
  <c r="J311" i="1"/>
  <c r="S311" i="1"/>
  <c r="P309" i="1"/>
  <c r="Q309" i="1"/>
  <c r="K311" i="1"/>
  <c r="L311" i="1"/>
  <c r="N311" i="1"/>
  <c r="P310" i="1"/>
  <c r="Q310" i="1"/>
  <c r="S312" i="1"/>
  <c r="J312" i="1"/>
  <c r="K312" i="1"/>
  <c r="L312" i="1"/>
  <c r="P312" i="1"/>
  <c r="Q312" i="1"/>
  <c r="N312" i="1"/>
  <c r="J313" i="1"/>
  <c r="S313" i="1"/>
  <c r="P311" i="1"/>
  <c r="Q311" i="1"/>
  <c r="J314" i="1"/>
  <c r="S314" i="1"/>
  <c r="N313" i="1"/>
  <c r="K313" i="1"/>
  <c r="P313" i="1"/>
  <c r="Q313" i="1"/>
  <c r="L313" i="1"/>
  <c r="N314" i="1"/>
  <c r="K314" i="1"/>
  <c r="P314" i="1"/>
  <c r="Q314" i="1"/>
  <c r="L314" i="1"/>
  <c r="S315" i="1"/>
  <c r="J315" i="1"/>
  <c r="S316" i="1"/>
  <c r="J316" i="1"/>
  <c r="K315" i="1"/>
  <c r="N315" i="1"/>
  <c r="P315" i="1"/>
  <c r="Q315" i="1"/>
  <c r="L315" i="1"/>
  <c r="K316" i="1"/>
  <c r="L316" i="1"/>
  <c r="N316" i="1"/>
  <c r="P316" i="1"/>
  <c r="Q316" i="1"/>
  <c r="S317" i="1"/>
  <c r="J317" i="1"/>
  <c r="J318" i="1"/>
  <c r="S318" i="1"/>
  <c r="K317" i="1"/>
  <c r="L317" i="1"/>
  <c r="N317" i="1"/>
  <c r="P317" i="1"/>
  <c r="Q317" i="1"/>
  <c r="J319" i="1"/>
  <c r="S319" i="1"/>
  <c r="N318" i="1"/>
  <c r="K318" i="1"/>
  <c r="L318" i="1"/>
  <c r="P318" i="1"/>
  <c r="Q318" i="1"/>
  <c r="S320" i="1"/>
  <c r="J320" i="1"/>
  <c r="K319" i="1"/>
  <c r="L319" i="1"/>
  <c r="N319" i="1"/>
  <c r="P319" i="1"/>
  <c r="Q319" i="1"/>
  <c r="K320" i="1"/>
  <c r="L320" i="1"/>
  <c r="P320" i="1"/>
  <c r="Q320" i="1"/>
  <c r="N320" i="1"/>
  <c r="J321" i="1"/>
  <c r="S321" i="1"/>
  <c r="J322" i="1"/>
  <c r="S322" i="1"/>
  <c r="K321" i="1"/>
  <c r="L321" i="1"/>
  <c r="N321" i="1"/>
  <c r="P321" i="1"/>
  <c r="Q321" i="1"/>
  <c r="K322" i="1"/>
  <c r="L322" i="1"/>
  <c r="N322" i="1"/>
  <c r="P322" i="1"/>
  <c r="Q322" i="1"/>
  <c r="J323" i="1"/>
  <c r="S323" i="1"/>
  <c r="S324" i="1"/>
  <c r="J324" i="1"/>
  <c r="K323" i="1"/>
  <c r="N323" i="1"/>
  <c r="L323" i="1"/>
  <c r="P323" i="1"/>
  <c r="Q323" i="1"/>
  <c r="K324" i="1"/>
  <c r="P324" i="1"/>
  <c r="Q324" i="1"/>
  <c r="N324" i="1"/>
  <c r="L324" i="1"/>
  <c r="J325" i="1"/>
  <c r="S325" i="1"/>
  <c r="S326" i="1"/>
  <c r="J326" i="1"/>
  <c r="K325" i="1"/>
  <c r="L325" i="1"/>
  <c r="N325" i="1"/>
  <c r="P325" i="1"/>
  <c r="Q325" i="1"/>
  <c r="S327" i="1"/>
  <c r="J327" i="1"/>
  <c r="N326" i="1"/>
  <c r="K326" i="1"/>
  <c r="L326" i="1"/>
  <c r="P326" i="1"/>
  <c r="Q326" i="1"/>
  <c r="N327" i="1"/>
  <c r="K327" i="1"/>
  <c r="P327" i="1"/>
  <c r="Q327" i="1"/>
  <c r="J328" i="1"/>
  <c r="S328" i="1"/>
  <c r="K328" i="1"/>
  <c r="L328" i="1"/>
  <c r="N328" i="1"/>
  <c r="P328" i="1"/>
  <c r="Q328" i="1"/>
  <c r="J329" i="1"/>
  <c r="S329" i="1"/>
  <c r="L327" i="1"/>
  <c r="N329" i="1"/>
  <c r="K329" i="1"/>
  <c r="L329" i="1"/>
  <c r="P329" i="1"/>
  <c r="Q329" i="1"/>
  <c r="S330" i="1"/>
  <c r="J330" i="1"/>
  <c r="S331" i="1"/>
  <c r="J331" i="1"/>
  <c r="K330" i="1"/>
  <c r="N330" i="1"/>
  <c r="P330" i="1"/>
  <c r="Q330" i="1"/>
  <c r="L330" i="1"/>
  <c r="J332" i="1"/>
  <c r="S332" i="1"/>
  <c r="K331" i="1"/>
  <c r="P331" i="1"/>
  <c r="Q331" i="1"/>
  <c r="L331" i="1"/>
  <c r="N331" i="1"/>
  <c r="S333" i="1"/>
  <c r="J333" i="1"/>
  <c r="N332" i="1"/>
  <c r="K332" i="1"/>
  <c r="L332" i="1"/>
  <c r="P332" i="1"/>
  <c r="Q332" i="1"/>
  <c r="S334" i="1"/>
  <c r="J334" i="1"/>
  <c r="N333" i="1"/>
  <c r="K333" i="1"/>
  <c r="P333" i="1"/>
  <c r="Q333" i="1"/>
  <c r="J335" i="1"/>
  <c r="S335" i="1"/>
  <c r="L333" i="1"/>
  <c r="K334" i="1"/>
  <c r="P334" i="1"/>
  <c r="Q334" i="1"/>
  <c r="N334" i="1"/>
  <c r="L334" i="1"/>
  <c r="S336" i="1"/>
  <c r="J336" i="1"/>
  <c r="N335" i="1"/>
  <c r="K335" i="1"/>
  <c r="L335" i="1"/>
  <c r="P335" i="1"/>
  <c r="Q335" i="1"/>
  <c r="K336" i="1"/>
  <c r="P336" i="1"/>
  <c r="Q336" i="1"/>
  <c r="N336" i="1"/>
  <c r="L336" i="1"/>
  <c r="J337" i="1"/>
  <c r="S337" i="1"/>
  <c r="J338" i="1"/>
  <c r="S338" i="1"/>
  <c r="N337" i="1"/>
  <c r="K337" i="1"/>
  <c r="L337" i="1"/>
  <c r="P337" i="1"/>
  <c r="Q337" i="1"/>
  <c r="S339" i="1"/>
  <c r="J339" i="1"/>
  <c r="K338" i="1"/>
  <c r="L338" i="1"/>
  <c r="N338" i="1"/>
  <c r="P338" i="1"/>
  <c r="Q338" i="1"/>
  <c r="K339" i="1"/>
  <c r="L339" i="1"/>
  <c r="N339" i="1"/>
  <c r="S340" i="1"/>
  <c r="J340" i="1"/>
  <c r="K340" i="1"/>
  <c r="L340" i="1"/>
  <c r="N340" i="1"/>
  <c r="P340" i="1"/>
  <c r="Q340" i="1"/>
  <c r="J341" i="1"/>
  <c r="S341" i="1"/>
  <c r="P339" i="1"/>
  <c r="Q339" i="1"/>
  <c r="S342" i="1"/>
  <c r="J342" i="1"/>
  <c r="K341" i="1"/>
  <c r="L341" i="1"/>
  <c r="N341" i="1"/>
  <c r="P341" i="1"/>
  <c r="Q341" i="1"/>
  <c r="K342" i="1"/>
  <c r="L342" i="1"/>
  <c r="P342" i="1"/>
  <c r="Q342" i="1"/>
  <c r="N342" i="1"/>
  <c r="J343" i="1"/>
  <c r="S343" i="1"/>
  <c r="J344" i="1"/>
  <c r="S344" i="1"/>
  <c r="K343" i="1"/>
  <c r="L343" i="1"/>
  <c r="N343" i="1"/>
  <c r="P343" i="1"/>
  <c r="Q343" i="1"/>
  <c r="K344" i="1"/>
  <c r="L344" i="1"/>
  <c r="N344" i="1"/>
  <c r="P344" i="1"/>
  <c r="Q344" i="1"/>
  <c r="J345" i="1"/>
  <c r="S345" i="1"/>
  <c r="J346" i="1"/>
  <c r="S346" i="1"/>
  <c r="K345" i="1"/>
  <c r="L345" i="1"/>
  <c r="N345" i="1"/>
  <c r="P345" i="1"/>
  <c r="Q345" i="1"/>
  <c r="N346" i="1"/>
  <c r="K346" i="1"/>
  <c r="L346" i="1"/>
  <c r="S347" i="1"/>
  <c r="J347" i="1"/>
  <c r="K347" i="1"/>
  <c r="N347" i="1"/>
  <c r="P347" i="1"/>
  <c r="Q347" i="1"/>
  <c r="L347" i="1"/>
  <c r="J348" i="1"/>
  <c r="S348" i="1"/>
  <c r="P346" i="1"/>
  <c r="Q346" i="1"/>
  <c r="K348" i="1"/>
  <c r="L348" i="1"/>
  <c r="N348" i="1"/>
  <c r="P348" i="1"/>
  <c r="Q348" i="1"/>
  <c r="J349" i="1"/>
  <c r="S349" i="1"/>
  <c r="S350" i="1"/>
  <c r="J350" i="1"/>
  <c r="N349" i="1"/>
  <c r="K349" i="1"/>
  <c r="L349" i="1"/>
  <c r="P349" i="1"/>
  <c r="Q349" i="1"/>
  <c r="K350" i="1"/>
  <c r="P350" i="1"/>
  <c r="Q350" i="1"/>
  <c r="N350" i="1"/>
  <c r="L350" i="1"/>
  <c r="J351" i="1"/>
  <c r="S351" i="1"/>
  <c r="J352" i="1"/>
  <c r="S352" i="1"/>
  <c r="K351" i="1"/>
  <c r="L351" i="1"/>
  <c r="N351" i="1"/>
  <c r="P351" i="1"/>
  <c r="Q351" i="1"/>
  <c r="K352" i="1"/>
  <c r="L352" i="1"/>
  <c r="N352" i="1"/>
  <c r="P352" i="1"/>
  <c r="Q352" i="1"/>
  <c r="J353" i="1"/>
  <c r="S353" i="1"/>
  <c r="J354" i="1"/>
  <c r="S354" i="1"/>
  <c r="K353" i="1"/>
  <c r="L353" i="1"/>
  <c r="N353" i="1"/>
  <c r="P353" i="1"/>
  <c r="Q353" i="1"/>
  <c r="N354" i="1"/>
  <c r="K354" i="1"/>
  <c r="L354" i="1"/>
  <c r="J355" i="1"/>
  <c r="S355" i="1"/>
  <c r="K355" i="1"/>
  <c r="N355" i="1"/>
  <c r="L355" i="1"/>
  <c r="P355" i="1"/>
  <c r="Q355" i="1"/>
  <c r="J356" i="1"/>
  <c r="S356" i="1"/>
  <c r="P354" i="1"/>
  <c r="Q354" i="1"/>
  <c r="S357" i="1"/>
  <c r="J357" i="1"/>
  <c r="K356" i="1"/>
  <c r="L356" i="1"/>
  <c r="N356" i="1"/>
  <c r="K357" i="1"/>
  <c r="L357" i="1"/>
  <c r="N357" i="1"/>
  <c r="P357" i="1"/>
  <c r="Q357" i="1"/>
  <c r="J358" i="1"/>
  <c r="S358" i="1"/>
  <c r="P356" i="1"/>
  <c r="Q356" i="1"/>
  <c r="J359" i="1"/>
  <c r="S359" i="1"/>
  <c r="N358" i="1"/>
  <c r="K358" i="1"/>
  <c r="L358" i="1"/>
  <c r="P358" i="1"/>
  <c r="Q358" i="1"/>
  <c r="N359" i="1"/>
  <c r="K359" i="1"/>
  <c r="P359" i="1"/>
  <c r="Q359" i="1"/>
  <c r="S360" i="1"/>
  <c r="J360" i="1"/>
  <c r="J361" i="1"/>
  <c r="S361" i="1"/>
  <c r="L359" i="1"/>
  <c r="K360" i="1"/>
  <c r="L360" i="1"/>
  <c r="N360" i="1"/>
  <c r="P360" i="1"/>
  <c r="Q360" i="1"/>
  <c r="N361" i="1"/>
  <c r="K361" i="1"/>
  <c r="L361" i="1"/>
  <c r="P361" i="1"/>
  <c r="Q361" i="1"/>
  <c r="S362" i="1"/>
  <c r="J362" i="1"/>
  <c r="K362" i="1"/>
  <c r="N362" i="1"/>
  <c r="P362" i="1"/>
  <c r="Q362" i="1"/>
  <c r="L362" i="1"/>
  <c r="J363" i="1"/>
  <c r="S363" i="1"/>
  <c r="K363" i="1"/>
  <c r="L363" i="1"/>
  <c r="P363" i="1"/>
  <c r="Q363" i="1"/>
  <c r="N363" i="1"/>
  <c r="J364" i="1"/>
  <c r="S364" i="1"/>
  <c r="J365" i="1"/>
  <c r="S365" i="1"/>
  <c r="N364" i="1"/>
  <c r="K364" i="1"/>
  <c r="L364" i="1"/>
  <c r="P364" i="1"/>
  <c r="Q364" i="1"/>
  <c r="J366" i="1"/>
  <c r="S366" i="1"/>
  <c r="N365" i="1"/>
  <c r="K365" i="1"/>
  <c r="P365" i="1"/>
  <c r="Q365" i="1"/>
  <c r="L365" i="1"/>
  <c r="K366" i="1"/>
  <c r="P366" i="1"/>
  <c r="Q366" i="1"/>
  <c r="N366" i="1"/>
  <c r="J367" i="1"/>
  <c r="S367" i="1"/>
  <c r="J368" i="1"/>
  <c r="S368" i="1"/>
  <c r="K367" i="1"/>
  <c r="L367" i="1"/>
  <c r="N367" i="1"/>
  <c r="P367" i="1"/>
  <c r="Q367" i="1"/>
  <c r="L366" i="1"/>
  <c r="N368" i="1"/>
  <c r="K368" i="1"/>
  <c r="L368" i="1"/>
  <c r="S369" i="1"/>
  <c r="J369" i="1"/>
  <c r="S370" i="1"/>
  <c r="J370" i="1"/>
  <c r="N369" i="1"/>
  <c r="K369" i="1"/>
  <c r="L369" i="1"/>
  <c r="P368" i="1"/>
  <c r="Q368" i="1"/>
  <c r="J371" i="1"/>
  <c r="S371" i="1"/>
  <c r="P369" i="1"/>
  <c r="Q369" i="1"/>
  <c r="K370" i="1"/>
  <c r="P370" i="1"/>
  <c r="Q370" i="1"/>
  <c r="N370" i="1"/>
  <c r="J372" i="1"/>
  <c r="S372" i="1"/>
  <c r="L370" i="1"/>
  <c r="K371" i="1"/>
  <c r="L371" i="1"/>
  <c r="N371" i="1"/>
  <c r="P371" i="1"/>
  <c r="Q371" i="1"/>
  <c r="S373" i="1"/>
  <c r="J373" i="1"/>
  <c r="K372" i="1"/>
  <c r="N372" i="1"/>
  <c r="L372" i="1"/>
  <c r="P372" i="1"/>
  <c r="Q372" i="1"/>
  <c r="K373" i="1"/>
  <c r="L373" i="1"/>
  <c r="P373" i="1"/>
  <c r="Q373" i="1"/>
  <c r="N373" i="1"/>
  <c r="J374" i="1"/>
  <c r="S374" i="1"/>
  <c r="J375" i="1"/>
  <c r="S375" i="1"/>
  <c r="K374" i="1"/>
  <c r="L374" i="1"/>
  <c r="N374" i="1"/>
  <c r="P374" i="1"/>
  <c r="Q374" i="1"/>
  <c r="K375" i="1"/>
  <c r="L375" i="1"/>
  <c r="N375" i="1"/>
  <c r="P375" i="1"/>
  <c r="Q375" i="1"/>
  <c r="J376" i="1"/>
  <c r="S376" i="1"/>
  <c r="S377" i="1"/>
  <c r="J377" i="1"/>
  <c r="K376" i="1"/>
  <c r="P376" i="1"/>
  <c r="Q376" i="1"/>
  <c r="N376" i="1"/>
  <c r="K377" i="1"/>
  <c r="P377" i="1"/>
  <c r="Q377" i="1"/>
  <c r="N377" i="1"/>
  <c r="L377" i="1"/>
  <c r="J378" i="1"/>
  <c r="S378" i="1"/>
  <c r="L376" i="1"/>
  <c r="S379" i="1"/>
  <c r="J379" i="1"/>
  <c r="N378" i="1"/>
  <c r="K378" i="1"/>
  <c r="L378" i="1"/>
  <c r="P378" i="1"/>
  <c r="Q378" i="1"/>
  <c r="J380" i="1"/>
  <c r="S380" i="1"/>
  <c r="K379" i="1"/>
  <c r="N379" i="1"/>
  <c r="P379" i="1"/>
  <c r="Q379" i="1"/>
  <c r="L379" i="1"/>
  <c r="N380" i="1"/>
  <c r="K380" i="1"/>
  <c r="L380" i="1"/>
  <c r="P380" i="1"/>
  <c r="Q380" i="1"/>
  <c r="J381" i="1"/>
  <c r="S381" i="1"/>
  <c r="J382" i="1"/>
  <c r="S382" i="1"/>
  <c r="N381" i="1"/>
  <c r="K381" i="1"/>
  <c r="P381" i="1"/>
  <c r="Q381" i="1"/>
  <c r="L381" i="1"/>
  <c r="K382" i="1"/>
  <c r="P382" i="1"/>
  <c r="Q382" i="1"/>
  <c r="L382" i="1"/>
  <c r="N382" i="1"/>
  <c r="S383" i="1"/>
  <c r="J383" i="1"/>
  <c r="K383" i="1"/>
  <c r="N383" i="1"/>
  <c r="L383" i="1"/>
  <c r="P383" i="1"/>
  <c r="Q383" i="1"/>
  <c r="S384" i="1"/>
  <c r="J384" i="1"/>
  <c r="N384" i="1"/>
  <c r="K384" i="1"/>
  <c r="L384" i="1"/>
  <c r="P384" i="1"/>
  <c r="Q384" i="1"/>
  <c r="S385" i="1"/>
  <c r="J385" i="1"/>
  <c r="J386" i="1"/>
  <c r="S386" i="1"/>
  <c r="K385" i="1"/>
  <c r="N385" i="1"/>
  <c r="L385" i="1"/>
  <c r="P385" i="1"/>
  <c r="Q385" i="1"/>
  <c r="J387" i="1"/>
  <c r="S387" i="1"/>
  <c r="K386" i="1"/>
  <c r="L386" i="1"/>
  <c r="N386" i="1"/>
  <c r="P386" i="1"/>
  <c r="Q386" i="1"/>
  <c r="J388" i="1"/>
  <c r="S388" i="1"/>
  <c r="K387" i="1"/>
  <c r="N387" i="1"/>
  <c r="L387" i="1"/>
  <c r="P387" i="1"/>
  <c r="Q387" i="1"/>
  <c r="J389" i="1"/>
  <c r="S389" i="1"/>
  <c r="N388" i="1"/>
  <c r="K388" i="1"/>
  <c r="P388" i="1"/>
  <c r="Q388" i="1"/>
  <c r="L388" i="1"/>
  <c r="N389" i="1"/>
  <c r="K389" i="1"/>
  <c r="P389" i="1"/>
  <c r="Q389" i="1"/>
  <c r="J390" i="1"/>
  <c r="S390" i="1"/>
  <c r="N390" i="1"/>
  <c r="K390" i="1"/>
  <c r="L390" i="1"/>
  <c r="P390" i="1"/>
  <c r="Q390" i="1"/>
  <c r="J391" i="1"/>
  <c r="S391" i="1"/>
  <c r="L389" i="1"/>
  <c r="N391" i="1"/>
  <c r="K391" i="1"/>
  <c r="P391" i="1"/>
  <c r="Q391" i="1"/>
  <c r="J392" i="1"/>
  <c r="S392" i="1"/>
  <c r="K392" i="1"/>
  <c r="L392" i="1"/>
  <c r="N392" i="1"/>
  <c r="P392" i="1"/>
  <c r="Q392" i="1"/>
  <c r="J393" i="1"/>
  <c r="S393" i="1"/>
  <c r="L391" i="1"/>
  <c r="J394" i="1"/>
  <c r="S394" i="1"/>
  <c r="N393" i="1"/>
  <c r="K393" i="1"/>
  <c r="L393" i="1"/>
  <c r="P393" i="1"/>
  <c r="Q393" i="1"/>
  <c r="J395" i="1"/>
  <c r="S395" i="1"/>
  <c r="K394" i="1"/>
  <c r="N394" i="1"/>
  <c r="L394" i="1"/>
  <c r="P394" i="1"/>
  <c r="Q394" i="1"/>
  <c r="J396" i="1"/>
  <c r="S396" i="1"/>
  <c r="K395" i="1"/>
  <c r="L395" i="1"/>
  <c r="N395" i="1"/>
  <c r="P395" i="1"/>
  <c r="Q395" i="1"/>
  <c r="K396" i="1"/>
  <c r="N396" i="1"/>
  <c r="L396" i="1"/>
  <c r="P396" i="1"/>
  <c r="Q396" i="1"/>
  <c r="J397" i="1"/>
  <c r="S397" i="1"/>
  <c r="N397" i="1"/>
  <c r="K397" i="1"/>
  <c r="P397" i="1"/>
  <c r="Q397" i="1"/>
  <c r="S398" i="1"/>
  <c r="J398" i="1"/>
  <c r="N398" i="1"/>
  <c r="K398" i="1"/>
  <c r="P398" i="1"/>
  <c r="Q398" i="1"/>
  <c r="L398" i="1"/>
  <c r="L397" i="1"/>
  <c r="J399" i="1"/>
  <c r="S399" i="1"/>
  <c r="K399" i="1"/>
  <c r="L399" i="1"/>
  <c r="P399" i="1"/>
  <c r="Q399" i="1"/>
  <c r="N399" i="1"/>
  <c r="J400" i="1"/>
  <c r="S400" i="1"/>
  <c r="K400" i="1"/>
  <c r="L400" i="1"/>
  <c r="N400" i="1"/>
  <c r="P400" i="1"/>
  <c r="Q400" i="1"/>
  <c r="S401" i="1"/>
  <c r="J401" i="1"/>
  <c r="J402" i="1"/>
  <c r="S402" i="1"/>
  <c r="N401" i="1"/>
  <c r="K401" i="1"/>
  <c r="L401" i="1"/>
  <c r="P401" i="1"/>
  <c r="Q401" i="1"/>
  <c r="K402" i="1"/>
  <c r="N402" i="1"/>
  <c r="P402" i="1"/>
  <c r="Q402" i="1"/>
  <c r="L402" i="1"/>
  <c r="J403" i="1"/>
  <c r="S403" i="1"/>
  <c r="J404" i="1"/>
  <c r="S404" i="1"/>
  <c r="K403" i="1"/>
  <c r="L403" i="1"/>
  <c r="P403" i="1"/>
  <c r="Q403" i="1"/>
  <c r="N403" i="1"/>
  <c r="S405" i="1"/>
  <c r="J405" i="1"/>
  <c r="K404" i="1"/>
  <c r="N404" i="1"/>
  <c r="L404" i="1"/>
  <c r="P404" i="1"/>
  <c r="Q404" i="1"/>
  <c r="N405" i="1"/>
  <c r="K405" i="1"/>
  <c r="L405" i="1"/>
  <c r="P405" i="1"/>
  <c r="Q405" i="1"/>
  <c r="J406" i="1"/>
  <c r="S406" i="1"/>
  <c r="N406" i="1"/>
  <c r="K406" i="1"/>
  <c r="L406" i="1"/>
  <c r="P406" i="1"/>
  <c r="Q406" i="1"/>
  <c r="J407" i="1"/>
  <c r="S407" i="1"/>
  <c r="K407" i="1"/>
  <c r="L407" i="1"/>
  <c r="N407" i="1"/>
  <c r="J408" i="1"/>
  <c r="S408" i="1"/>
  <c r="J409" i="1"/>
  <c r="S409" i="1"/>
  <c r="K408" i="1"/>
  <c r="L408" i="1"/>
  <c r="N408" i="1"/>
  <c r="P407" i="1"/>
  <c r="Q407" i="1"/>
  <c r="P408" i="1"/>
  <c r="Q408" i="1"/>
  <c r="J410" i="1"/>
  <c r="S410" i="1"/>
  <c r="K409" i="1"/>
  <c r="P409" i="1"/>
  <c r="Q409" i="1"/>
  <c r="N409" i="1"/>
  <c r="L409" i="1"/>
  <c r="N410" i="1"/>
  <c r="K410" i="1"/>
  <c r="P410" i="1"/>
  <c r="Q410" i="1"/>
  <c r="S411" i="1"/>
  <c r="J411" i="1"/>
  <c r="K411" i="1"/>
  <c r="N411" i="1"/>
  <c r="P411" i="1"/>
  <c r="Q411" i="1"/>
  <c r="L411" i="1"/>
  <c r="J412" i="1"/>
  <c r="S412" i="1"/>
  <c r="L410" i="1"/>
  <c r="K412" i="1"/>
  <c r="L412" i="1"/>
  <c r="N412" i="1"/>
  <c r="J413" i="1"/>
  <c r="S413" i="1"/>
  <c r="N413" i="1"/>
  <c r="K413" i="1"/>
  <c r="P413" i="1"/>
  <c r="Q413" i="1"/>
  <c r="J414" i="1"/>
  <c r="S414" i="1"/>
  <c r="P412" i="1"/>
  <c r="Q412" i="1"/>
  <c r="J415" i="1"/>
  <c r="S415" i="1"/>
  <c r="L413" i="1"/>
  <c r="K414" i="1"/>
  <c r="P414" i="1"/>
  <c r="Q414" i="1"/>
  <c r="N414" i="1"/>
  <c r="L414" i="1"/>
  <c r="K415" i="1"/>
  <c r="P415" i="1"/>
  <c r="Q415" i="1"/>
  <c r="L415" i="1"/>
  <c r="N415" i="1"/>
  <c r="S416" i="1"/>
  <c r="J416" i="1"/>
  <c r="J417" i="1"/>
  <c r="S417" i="1"/>
  <c r="N416" i="1"/>
  <c r="K416" i="1"/>
  <c r="L416" i="1"/>
  <c r="P416" i="1"/>
  <c r="Q416" i="1"/>
  <c r="N417" i="1"/>
  <c r="K417" i="1"/>
  <c r="L417" i="1"/>
  <c r="P417" i="1"/>
  <c r="Q417" i="1"/>
  <c r="S418" i="1"/>
  <c r="J418" i="1"/>
  <c r="S419" i="1"/>
  <c r="J419" i="1"/>
  <c r="N418" i="1"/>
  <c r="K418" i="1"/>
  <c r="L418" i="1"/>
  <c r="K419" i="1"/>
  <c r="N419" i="1"/>
  <c r="L419" i="1"/>
  <c r="P419" i="1"/>
  <c r="Q419" i="1"/>
  <c r="P418" i="1"/>
  <c r="Q418" i="1"/>
  <c r="J420" i="1"/>
  <c r="S420" i="1"/>
  <c r="J421" i="1"/>
  <c r="S421" i="1"/>
  <c r="K420" i="1"/>
  <c r="L420" i="1"/>
  <c r="N420" i="1"/>
  <c r="P420" i="1"/>
  <c r="Q420" i="1"/>
  <c r="K421" i="1"/>
  <c r="L421" i="1"/>
  <c r="N421" i="1"/>
  <c r="P421" i="1"/>
  <c r="Q421" i="1"/>
  <c r="J422" i="1"/>
  <c r="S422" i="1"/>
  <c r="S423" i="1"/>
  <c r="J423" i="1"/>
  <c r="N422" i="1"/>
  <c r="K422" i="1"/>
  <c r="P422" i="1"/>
  <c r="Q422" i="1"/>
  <c r="L422" i="1"/>
  <c r="N423" i="1"/>
  <c r="K423" i="1"/>
  <c r="P423" i="1"/>
  <c r="Q423" i="1"/>
  <c r="J424" i="1"/>
  <c r="S424" i="1"/>
  <c r="K424" i="1"/>
  <c r="L424" i="1"/>
  <c r="N424" i="1"/>
  <c r="P424" i="1"/>
  <c r="Q424" i="1"/>
  <c r="J425" i="1"/>
  <c r="S425" i="1"/>
  <c r="L423" i="1"/>
  <c r="J426" i="1"/>
  <c r="S426" i="1"/>
  <c r="N425" i="1"/>
  <c r="K425" i="1"/>
  <c r="P425" i="1"/>
  <c r="Q425" i="1"/>
  <c r="L425" i="1"/>
  <c r="J427" i="1"/>
  <c r="S427" i="1"/>
  <c r="K426" i="1"/>
  <c r="P426" i="1"/>
  <c r="Q426" i="1"/>
  <c r="N426" i="1"/>
  <c r="L426" i="1"/>
  <c r="J428" i="1"/>
  <c r="S428" i="1"/>
  <c r="K427" i="1"/>
  <c r="L427" i="1"/>
  <c r="N427" i="1"/>
  <c r="P427" i="1"/>
  <c r="Q427" i="1"/>
  <c r="K428" i="1"/>
  <c r="N428" i="1"/>
  <c r="P428" i="1"/>
  <c r="Q428" i="1"/>
  <c r="L428" i="1"/>
  <c r="J429" i="1"/>
  <c r="S429" i="1"/>
  <c r="J430" i="1"/>
  <c r="S430" i="1"/>
  <c r="K429" i="1"/>
  <c r="P429" i="1"/>
  <c r="Q429" i="1"/>
  <c r="N429" i="1"/>
  <c r="L429" i="1"/>
  <c r="K430" i="1"/>
  <c r="P430" i="1"/>
  <c r="Q430" i="1"/>
  <c r="N430" i="1"/>
  <c r="L430" i="1"/>
  <c r="S431" i="1"/>
  <c r="J431" i="1"/>
  <c r="K431" i="1"/>
  <c r="P431" i="1"/>
  <c r="Q431" i="1"/>
  <c r="N431" i="1"/>
  <c r="L431" i="1"/>
  <c r="J432" i="1"/>
  <c r="S432" i="1"/>
  <c r="J433" i="1"/>
  <c r="S433" i="1"/>
  <c r="K432" i="1"/>
  <c r="L432" i="1"/>
  <c r="N432" i="1"/>
  <c r="J434" i="1"/>
  <c r="S434" i="1"/>
  <c r="P432" i="1"/>
  <c r="Q432" i="1"/>
  <c r="N433" i="1"/>
  <c r="K433" i="1"/>
  <c r="L433" i="1"/>
  <c r="J435" i="1"/>
  <c r="S435" i="1"/>
  <c r="P433" i="1"/>
  <c r="Q433" i="1"/>
  <c r="N434" i="1"/>
  <c r="K434" i="1"/>
  <c r="L434" i="1"/>
  <c r="S436" i="1"/>
  <c r="J436" i="1"/>
  <c r="P434" i="1"/>
  <c r="Q434" i="1"/>
  <c r="K435" i="1"/>
  <c r="L435" i="1"/>
  <c r="N435" i="1"/>
  <c r="P435" i="1"/>
  <c r="Q435" i="1"/>
  <c r="K436" i="1"/>
  <c r="N436" i="1"/>
  <c r="P436" i="1"/>
  <c r="Q436" i="1"/>
  <c r="L436" i="1"/>
  <c r="J437" i="1"/>
  <c r="S437" i="1"/>
  <c r="K437" i="1"/>
  <c r="L437" i="1"/>
  <c r="N437" i="1"/>
  <c r="P437" i="1"/>
  <c r="Q437" i="1"/>
  <c r="J438" i="1"/>
  <c r="S438" i="1"/>
  <c r="N438" i="1"/>
  <c r="K438" i="1"/>
  <c r="P438" i="1"/>
  <c r="Q438" i="1"/>
  <c r="S439" i="1"/>
  <c r="J439" i="1"/>
  <c r="K439" i="1"/>
  <c r="N439" i="1"/>
  <c r="P439" i="1"/>
  <c r="Q439" i="1"/>
  <c r="L439" i="1"/>
  <c r="L438" i="1"/>
  <c r="J440" i="1"/>
  <c r="S440" i="1"/>
  <c r="J441" i="1"/>
  <c r="S441" i="1"/>
  <c r="K440" i="1"/>
  <c r="P440" i="1"/>
  <c r="Q440" i="1"/>
  <c r="N440" i="1"/>
  <c r="L440" i="1"/>
  <c r="S442" i="1"/>
  <c r="J442" i="1"/>
  <c r="K441" i="1"/>
  <c r="P441" i="1"/>
  <c r="Q441" i="1"/>
  <c r="N441" i="1"/>
  <c r="L441" i="1"/>
  <c r="J443" i="1"/>
  <c r="S443" i="1"/>
  <c r="N442" i="1"/>
  <c r="K442" i="1"/>
  <c r="L442" i="1"/>
  <c r="P442" i="1"/>
  <c r="Q442" i="1"/>
  <c r="J444" i="1"/>
  <c r="S444" i="1"/>
  <c r="K443" i="1"/>
  <c r="N443" i="1"/>
  <c r="P443" i="1"/>
  <c r="Q443" i="1"/>
  <c r="L443" i="1"/>
  <c r="J445" i="1"/>
  <c r="S445" i="1"/>
  <c r="K444" i="1"/>
  <c r="L444" i="1"/>
  <c r="N444" i="1"/>
  <c r="P444" i="1"/>
  <c r="Q444" i="1"/>
  <c r="N445" i="1"/>
  <c r="K445" i="1"/>
  <c r="L445" i="1"/>
  <c r="P445" i="1"/>
  <c r="Q445" i="1"/>
  <c r="S446" i="1"/>
  <c r="J446" i="1"/>
  <c r="J447" i="1"/>
  <c r="S447" i="1"/>
  <c r="N446" i="1"/>
  <c r="K446" i="1"/>
  <c r="P446" i="1"/>
  <c r="Q446" i="1"/>
  <c r="L446" i="1"/>
  <c r="J448" i="1"/>
  <c r="S448" i="1"/>
  <c r="K447" i="1"/>
  <c r="N447" i="1"/>
  <c r="L447" i="1"/>
  <c r="P447" i="1"/>
  <c r="Q447" i="1"/>
  <c r="S449" i="1"/>
  <c r="J449" i="1"/>
  <c r="K448" i="1"/>
  <c r="L448" i="1"/>
  <c r="N448" i="1"/>
  <c r="P448" i="1"/>
  <c r="Q448" i="1"/>
  <c r="N449" i="1"/>
  <c r="K449" i="1"/>
  <c r="L449" i="1"/>
  <c r="P449" i="1"/>
  <c r="Q449" i="1"/>
  <c r="J450" i="1"/>
  <c r="S450" i="1"/>
  <c r="J451" i="1"/>
  <c r="S451" i="1"/>
  <c r="K450" i="1"/>
  <c r="L450" i="1"/>
  <c r="P450" i="1"/>
  <c r="Q450" i="1"/>
  <c r="N450" i="1"/>
  <c r="K451" i="1"/>
  <c r="N451" i="1"/>
  <c r="L451" i="1"/>
  <c r="P451" i="1"/>
  <c r="Q451" i="1"/>
  <c r="S452" i="1"/>
  <c r="J452" i="1"/>
  <c r="K452" i="1"/>
  <c r="L452" i="1"/>
  <c r="N452" i="1"/>
  <c r="P452" i="1"/>
  <c r="Q452" i="1"/>
  <c r="S453" i="1"/>
  <c r="J453" i="1"/>
  <c r="K453" i="1"/>
  <c r="P453" i="1"/>
  <c r="Q453" i="1"/>
  <c r="N453" i="1"/>
  <c r="S454" i="1"/>
  <c r="J454" i="1"/>
  <c r="N454" i="1"/>
  <c r="K454" i="1"/>
  <c r="L454" i="1"/>
  <c r="J455" i="1"/>
  <c r="S455" i="1"/>
  <c r="L453" i="1"/>
  <c r="J456" i="1"/>
  <c r="S456" i="1"/>
  <c r="P454" i="1"/>
  <c r="Q454" i="1"/>
  <c r="N455" i="1"/>
  <c r="K455" i="1"/>
  <c r="P455" i="1"/>
  <c r="Q455" i="1"/>
  <c r="L455" i="1"/>
  <c r="K456" i="1"/>
  <c r="L456" i="1"/>
  <c r="N456" i="1"/>
  <c r="J457" i="1"/>
  <c r="S457" i="1"/>
  <c r="S458" i="1"/>
  <c r="J458" i="1"/>
  <c r="N457" i="1"/>
  <c r="K457" i="1"/>
  <c r="L457" i="1"/>
  <c r="P457" i="1"/>
  <c r="Q457" i="1"/>
  <c r="P456" i="1"/>
  <c r="Q456" i="1"/>
  <c r="J459" i="1"/>
  <c r="S459" i="1"/>
  <c r="K458" i="1"/>
  <c r="N458" i="1"/>
  <c r="P458" i="1"/>
  <c r="Q458" i="1"/>
  <c r="L458" i="1"/>
  <c r="S460" i="1"/>
  <c r="J460" i="1"/>
  <c r="N459" i="1"/>
  <c r="K459" i="1"/>
  <c r="L459" i="1"/>
  <c r="P459" i="1"/>
  <c r="Q459" i="1"/>
  <c r="N460" i="1"/>
  <c r="K460" i="1"/>
  <c r="P460" i="1"/>
  <c r="Q460" i="1"/>
  <c r="L460" i="1"/>
  <c r="J461" i="1"/>
  <c r="S461" i="1"/>
  <c r="S462" i="1"/>
  <c r="J462" i="1"/>
  <c r="N461" i="1"/>
  <c r="K461" i="1"/>
  <c r="P461" i="1"/>
  <c r="Q461" i="1"/>
  <c r="L461" i="1"/>
  <c r="K462" i="1"/>
  <c r="P462" i="1"/>
  <c r="Q462" i="1"/>
  <c r="N462" i="1"/>
  <c r="J463" i="1"/>
  <c r="S463" i="1"/>
  <c r="J464" i="1"/>
  <c r="S464" i="1"/>
  <c r="K463" i="1"/>
  <c r="L463" i="1"/>
  <c r="N463" i="1"/>
  <c r="P463" i="1"/>
  <c r="Q463" i="1"/>
  <c r="L462" i="1"/>
  <c r="J465" i="1"/>
  <c r="S465" i="1"/>
  <c r="K464" i="1"/>
  <c r="L464" i="1"/>
  <c r="N464" i="1"/>
  <c r="P464" i="1"/>
  <c r="Q464" i="1"/>
  <c r="J466" i="1"/>
  <c r="S466" i="1"/>
  <c r="N465" i="1"/>
  <c r="K465" i="1"/>
  <c r="L465" i="1"/>
  <c r="P465" i="1"/>
  <c r="Q465" i="1"/>
  <c r="S467" i="1"/>
  <c r="J467" i="1"/>
  <c r="K466" i="1"/>
  <c r="P466" i="1"/>
  <c r="Q466" i="1"/>
  <c r="N466" i="1"/>
  <c r="L466" i="1"/>
  <c r="K467" i="1"/>
  <c r="L467" i="1"/>
  <c r="N467" i="1"/>
  <c r="P467" i="1"/>
  <c r="Q467" i="1"/>
  <c r="S468" i="1"/>
  <c r="J468" i="1"/>
  <c r="K468" i="1"/>
  <c r="N468" i="1"/>
  <c r="L468" i="1"/>
  <c r="P468" i="1"/>
  <c r="Q468" i="1"/>
  <c r="J469" i="1"/>
  <c r="S469" i="1"/>
  <c r="N469" i="1"/>
  <c r="K469" i="1"/>
  <c r="L469" i="1"/>
  <c r="P469" i="1"/>
  <c r="Q469" i="1"/>
  <c r="S470" i="1"/>
  <c r="J470" i="1"/>
  <c r="K470" i="1"/>
  <c r="L470" i="1"/>
  <c r="N470" i="1"/>
  <c r="P470" i="1"/>
  <c r="Q470" i="1"/>
  <c r="J471" i="1"/>
  <c r="S471" i="1"/>
  <c r="J472" i="1"/>
  <c r="S472" i="1"/>
  <c r="K471" i="1"/>
  <c r="L471" i="1"/>
  <c r="N471" i="1"/>
  <c r="P471" i="1"/>
  <c r="Q471" i="1"/>
  <c r="K472" i="1"/>
  <c r="P472" i="1"/>
  <c r="Q472" i="1"/>
  <c r="N472" i="1"/>
  <c r="J473" i="1"/>
  <c r="S473" i="1"/>
  <c r="J474" i="1"/>
  <c r="S474" i="1"/>
  <c r="N473" i="1"/>
  <c r="K473" i="1"/>
  <c r="L473" i="1"/>
  <c r="P473" i="1"/>
  <c r="Q473" i="1"/>
  <c r="L472" i="1"/>
  <c r="S475" i="1"/>
  <c r="J475" i="1"/>
  <c r="N474" i="1"/>
  <c r="K474" i="1"/>
  <c r="P474" i="1"/>
  <c r="Q474" i="1"/>
  <c r="J476" i="1"/>
  <c r="S476" i="1"/>
  <c r="L474" i="1"/>
  <c r="K475" i="1"/>
  <c r="P475" i="1"/>
  <c r="Q475" i="1"/>
  <c r="N475" i="1"/>
  <c r="L475" i="1"/>
  <c r="N476" i="1"/>
  <c r="K476" i="1"/>
  <c r="L476" i="1"/>
  <c r="P476" i="1"/>
  <c r="Q476" i="1"/>
  <c r="S477" i="1"/>
  <c r="J477" i="1"/>
  <c r="K477" i="1"/>
  <c r="L477" i="1"/>
  <c r="P477" i="1"/>
  <c r="Q477" i="1"/>
  <c r="N477" i="1"/>
  <c r="S478" i="1"/>
  <c r="J478" i="1"/>
  <c r="N478" i="1"/>
  <c r="K478" i="1"/>
  <c r="P478" i="1"/>
  <c r="Q478" i="1"/>
  <c r="S479" i="1"/>
  <c r="J479" i="1"/>
  <c r="K479" i="1"/>
  <c r="L479" i="1"/>
  <c r="N479" i="1"/>
  <c r="P479" i="1"/>
  <c r="Q479" i="1"/>
  <c r="J480" i="1"/>
  <c r="S480" i="1"/>
  <c r="L478" i="1"/>
  <c r="N480" i="1"/>
  <c r="K480" i="1"/>
  <c r="P480" i="1"/>
  <c r="Q480" i="1"/>
  <c r="J481" i="1"/>
  <c r="S481" i="1"/>
  <c r="N481" i="1"/>
  <c r="K481" i="1"/>
  <c r="P481" i="1"/>
  <c r="Q481" i="1"/>
  <c r="L481" i="1"/>
  <c r="J482" i="1"/>
  <c r="S482" i="1"/>
  <c r="L480" i="1"/>
  <c r="J483" i="1"/>
  <c r="S483" i="1"/>
  <c r="N482" i="1"/>
  <c r="K482" i="1"/>
  <c r="L482" i="1"/>
  <c r="P482" i="1"/>
  <c r="Q482" i="1"/>
  <c r="K483" i="1"/>
  <c r="L483" i="1"/>
  <c r="N483" i="1"/>
  <c r="P483" i="1"/>
  <c r="Q483" i="1"/>
  <c r="S484" i="1"/>
  <c r="J484" i="1"/>
  <c r="N484" i="1"/>
  <c r="K484" i="1"/>
  <c r="P484" i="1"/>
  <c r="Q484" i="1"/>
  <c r="L484" i="1"/>
</calcChain>
</file>

<file path=xl/sharedStrings.xml><?xml version="1.0" encoding="utf-8"?>
<sst xmlns="http://schemas.openxmlformats.org/spreadsheetml/2006/main" count="7" uniqueCount="6">
  <si>
    <t>Waste</t>
  </si>
  <si>
    <t>Alignment</t>
  </si>
  <si>
    <t>Max Overhead</t>
  </si>
  <si>
    <t>64 bits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</si>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</sst>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485"/>
  <sheetViews>
    <sheetView tabSelected="1" workbookViewId="0">
      <selection activeCell="D16" sqref="D16"/>
    </sheetView>
  </sheetViews>
  <sheetFormatPr baseColWidth="10" defaultColWidth="8.83203125" defaultRowHeight="14" x14ac:dyDescent="0"/>
  <cols>
    <col min="7" max="7" width="13.6640625" customWidth="1"/>
    <col min="8" max="8" width="16.83203125" customWidth="1"/>
    <col min="10" max="10" width="16.1640625" customWidth="1"/>
  </cols>
  <sheetData>
    <row r="3" spans="1:19">
      <c r="L3" t="s">
        <v>0</v>
      </c>
      <c r="O3" t="s">
        <v>1</v>
      </c>
      <c r="S3" t="s">
        <v>2</v>
      </c>
    </row>
    <row r="4" spans="1:19">
      <c r="G4">
        <v>1</v>
      </c>
      <c r="H4">
        <v>1</v>
      </c>
      <c r="I4">
        <v>1</v>
      </c>
      <c r="J4">
        <f t="shared" ref="J4:J23" si="0">4096*I4</f>
        <v>4096</v>
      </c>
      <c r="K4">
        <f>FLOOR((J4-56)/G4,1)</f>
        <v>4040</v>
      </c>
      <c r="L4" s="1">
        <f t="shared" ref="L4:L7" si="1">(J4-K4*G4)/J4</f>
        <v>1.3671875E-2</v>
      </c>
      <c r="M4" s="1">
        <f t="shared" ref="M4:M6" si="2">(G4-(G3+1))/(G4)</f>
        <v>0</v>
      </c>
      <c r="O4">
        <v>1</v>
      </c>
      <c r="P4">
        <f>J4-G4*K4</f>
        <v>56</v>
      </c>
      <c r="Q4">
        <f>P4/I4</f>
        <v>56</v>
      </c>
      <c r="S4">
        <f t="shared" ref="S4:S67" si="3">FLOOR((G4 + 4095)/4096, 1)*4096 - G4</f>
        <v>4095</v>
      </c>
    </row>
    <row r="5" spans="1:19">
      <c r="G5">
        <v>2</v>
      </c>
      <c r="H5">
        <v>2</v>
      </c>
      <c r="I5">
        <v>1</v>
      </c>
      <c r="J5">
        <f t="shared" si="0"/>
        <v>4096</v>
      </c>
      <c r="K5">
        <f t="shared" ref="K5:K7" si="4">FLOOR((J5-24)/G5,1)</f>
        <v>2036</v>
      </c>
      <c r="L5" s="1">
        <f t="shared" si="1"/>
        <v>5.859375E-3</v>
      </c>
      <c r="M5" s="1">
        <f t="shared" si="2"/>
        <v>0</v>
      </c>
      <c r="O5">
        <v>2</v>
      </c>
      <c r="P5">
        <f>J5-G5*K5</f>
        <v>24</v>
      </c>
      <c r="Q5">
        <f t="shared" ref="Q5:Q68" si="5">P5/I5</f>
        <v>24</v>
      </c>
      <c r="S5">
        <f t="shared" si="3"/>
        <v>4094</v>
      </c>
    </row>
    <row r="6" spans="1:19">
      <c r="G6">
        <v>4</v>
      </c>
      <c r="H6">
        <v>4</v>
      </c>
      <c r="I6">
        <v>1</v>
      </c>
      <c r="J6">
        <f t="shared" si="0"/>
        <v>4096</v>
      </c>
      <c r="K6">
        <f t="shared" si="4"/>
        <v>1018</v>
      </c>
      <c r="L6" s="1">
        <f t="shared" si="1"/>
        <v>5.859375E-3</v>
      </c>
      <c r="M6" s="1">
        <f t="shared" si="2"/>
        <v>0.25</v>
      </c>
      <c r="N6">
        <f>J6/4096</f>
        <v>1</v>
      </c>
      <c r="O6">
        <v>4</v>
      </c>
      <c r="P6">
        <f t="shared" ref="P6:P66" si="6">J6-G6*K6</f>
        <v>24</v>
      </c>
      <c r="Q6">
        <f t="shared" si="5"/>
        <v>24</v>
      </c>
      <c r="S6">
        <f t="shared" si="3"/>
        <v>4092</v>
      </c>
    </row>
    <row r="7" spans="1:19">
      <c r="G7">
        <v>8</v>
      </c>
      <c r="H7">
        <v>4</v>
      </c>
      <c r="I7">
        <v>1</v>
      </c>
      <c r="J7">
        <f t="shared" si="0"/>
        <v>4096</v>
      </c>
      <c r="K7">
        <f t="shared" si="4"/>
        <v>509</v>
      </c>
      <c r="L7" s="1">
        <f t="shared" si="1"/>
        <v>5.859375E-3</v>
      </c>
      <c r="M7" s="1">
        <f>(G7-(G6+1))/(G7)</f>
        <v>0.375</v>
      </c>
      <c r="N7">
        <f t="shared" ref="N7:N70" si="7">J7/4096</f>
        <v>1</v>
      </c>
      <c r="O7">
        <v>8</v>
      </c>
      <c r="P7">
        <f t="shared" si="6"/>
        <v>24</v>
      </c>
      <c r="Q7">
        <f t="shared" si="5"/>
        <v>24</v>
      </c>
      <c r="S7">
        <f t="shared" si="3"/>
        <v>4088</v>
      </c>
    </row>
    <row r="8" spans="1:19">
      <c r="G8">
        <f t="shared" ref="G8:G71" si="8">G7+H8</f>
        <v>12</v>
      </c>
      <c r="H8">
        <v>4</v>
      </c>
      <c r="I8">
        <v>1</v>
      </c>
      <c r="J8">
        <v>4096</v>
      </c>
      <c r="K8">
        <f>FLOOR((J8-24)/G8,1)</f>
        <v>339</v>
      </c>
      <c r="L8" s="1">
        <f>(J8-K8*G8)/J8</f>
        <v>6.8359375E-3</v>
      </c>
      <c r="M8" s="1">
        <f t="shared" ref="M8:M71" si="9">(G8-(G7+1))/(G8)</f>
        <v>0.25</v>
      </c>
      <c r="N8">
        <f t="shared" si="7"/>
        <v>1</v>
      </c>
      <c r="O8">
        <v>4</v>
      </c>
      <c r="P8">
        <f t="shared" si="6"/>
        <v>28</v>
      </c>
      <c r="Q8">
        <f t="shared" si="5"/>
        <v>28</v>
      </c>
      <c r="S8">
        <f t="shared" si="3"/>
        <v>4084</v>
      </c>
    </row>
    <row r="9" spans="1:19">
      <c r="G9">
        <f>G8+H9</f>
        <v>16</v>
      </c>
      <c r="H9">
        <v>4</v>
      </c>
      <c r="I9">
        <v>1</v>
      </c>
      <c r="J9">
        <f t="shared" si="0"/>
        <v>4096</v>
      </c>
      <c r="K9">
        <f t="shared" ref="K9:K72" si="10">FLOOR(J9/G9,1)</f>
        <v>256</v>
      </c>
      <c r="L9" s="1">
        <f t="shared" ref="L9:L72" si="11">(J9-K9*G9)/J9</f>
        <v>0</v>
      </c>
      <c r="M9" s="1">
        <f>(G9-(G8+1))/(G9)</f>
        <v>0.1875</v>
      </c>
      <c r="N9">
        <f t="shared" si="7"/>
        <v>1</v>
      </c>
      <c r="O9">
        <v>16</v>
      </c>
      <c r="P9">
        <f t="shared" si="6"/>
        <v>0</v>
      </c>
      <c r="Q9">
        <f t="shared" si="5"/>
        <v>0</v>
      </c>
      <c r="S9">
        <f t="shared" si="3"/>
        <v>4080</v>
      </c>
    </row>
    <row r="10" spans="1:19">
      <c r="C10" t="e">
        <f>POWER(2, CEILING(LOG(MAX((#REF!*8)/4096,1), 2), 1))*4096</f>
        <v>#REF!</v>
      </c>
      <c r="G10">
        <f>G9+H10</f>
        <v>20</v>
      </c>
      <c r="H10">
        <v>4</v>
      </c>
      <c r="I10">
        <v>5</v>
      </c>
      <c r="J10">
        <f t="shared" si="0"/>
        <v>20480</v>
      </c>
      <c r="K10">
        <f t="shared" si="10"/>
        <v>1024</v>
      </c>
      <c r="L10" s="1">
        <f t="shared" si="11"/>
        <v>0</v>
      </c>
      <c r="M10" s="1">
        <f>(G10-(G9+1))/(G10)</f>
        <v>0.15</v>
      </c>
      <c r="N10">
        <f t="shared" si="7"/>
        <v>5</v>
      </c>
      <c r="O10">
        <v>4</v>
      </c>
      <c r="P10">
        <f t="shared" si="6"/>
        <v>0</v>
      </c>
      <c r="Q10">
        <f t="shared" si="5"/>
        <v>0</v>
      </c>
      <c r="S10">
        <f t="shared" si="3"/>
        <v>4076</v>
      </c>
    </row>
    <row r="11" spans="1:19">
      <c r="G11">
        <f>G10+H11</f>
        <v>24</v>
      </c>
      <c r="H11">
        <v>4</v>
      </c>
      <c r="I11">
        <v>3</v>
      </c>
      <c r="J11">
        <f t="shared" si="0"/>
        <v>12288</v>
      </c>
      <c r="K11">
        <f t="shared" si="10"/>
        <v>512</v>
      </c>
      <c r="L11" s="1">
        <f t="shared" si="11"/>
        <v>0</v>
      </c>
      <c r="M11" s="1">
        <f>(G11-(G10+1))/(G11)</f>
        <v>0.125</v>
      </c>
      <c r="N11">
        <f t="shared" si="7"/>
        <v>3</v>
      </c>
      <c r="O11">
        <v>8</v>
      </c>
      <c r="P11">
        <f t="shared" si="6"/>
        <v>0</v>
      </c>
      <c r="Q11">
        <f t="shared" si="5"/>
        <v>0</v>
      </c>
      <c r="S11">
        <f t="shared" si="3"/>
        <v>4072</v>
      </c>
    </row>
    <row r="12" spans="1:19">
      <c r="G12">
        <f>G11+H12</f>
        <v>28</v>
      </c>
      <c r="H12">
        <v>4</v>
      </c>
      <c r="I12">
        <v>7</v>
      </c>
      <c r="J12">
        <f t="shared" si="0"/>
        <v>28672</v>
      </c>
      <c r="K12">
        <f t="shared" si="10"/>
        <v>1024</v>
      </c>
      <c r="L12" s="1">
        <f t="shared" si="11"/>
        <v>0</v>
      </c>
      <c r="M12" s="1">
        <f>(G12-(G11+1))/(G12)</f>
        <v>0.10714285714285714</v>
      </c>
      <c r="N12">
        <f t="shared" si="7"/>
        <v>7</v>
      </c>
      <c r="O12">
        <v>4</v>
      </c>
      <c r="P12">
        <f t="shared" si="6"/>
        <v>0</v>
      </c>
      <c r="Q12">
        <f t="shared" si="5"/>
        <v>0</v>
      </c>
      <c r="S12">
        <f t="shared" si="3"/>
        <v>4068</v>
      </c>
    </row>
    <row r="13" spans="1:19">
      <c r="G13">
        <f>G12+H13</f>
        <v>32</v>
      </c>
      <c r="H13">
        <v>4</v>
      </c>
      <c r="I13">
        <v>1</v>
      </c>
      <c r="J13">
        <f t="shared" si="0"/>
        <v>4096</v>
      </c>
      <c r="K13">
        <f t="shared" si="10"/>
        <v>128</v>
      </c>
      <c r="L13" s="1">
        <f t="shared" si="11"/>
        <v>0</v>
      </c>
      <c r="M13" s="1">
        <f>(G13-(G12+1))/(G13)</f>
        <v>9.375E-2</v>
      </c>
      <c r="N13">
        <f t="shared" si="7"/>
        <v>1</v>
      </c>
      <c r="O13">
        <v>32</v>
      </c>
      <c r="P13">
        <f t="shared" si="6"/>
        <v>0</v>
      </c>
      <c r="Q13">
        <f t="shared" si="5"/>
        <v>0</v>
      </c>
      <c r="S13">
        <f t="shared" si="3"/>
        <v>4064</v>
      </c>
    </row>
    <row r="14" spans="1:19">
      <c r="A14" t="s">
        <v>0</v>
      </c>
      <c r="G14">
        <f t="shared" si="8"/>
        <v>36</v>
      </c>
      <c r="H14">
        <v>4</v>
      </c>
      <c r="I14">
        <v>9</v>
      </c>
      <c r="J14">
        <f t="shared" si="0"/>
        <v>36864</v>
      </c>
      <c r="K14">
        <f t="shared" si="10"/>
        <v>1024</v>
      </c>
      <c r="L14" s="1">
        <f t="shared" si="11"/>
        <v>0</v>
      </c>
      <c r="M14" s="1">
        <f t="shared" si="9"/>
        <v>8.3333333333333329E-2</v>
      </c>
      <c r="N14">
        <f t="shared" si="7"/>
        <v>9</v>
      </c>
      <c r="O14">
        <v>4</v>
      </c>
      <c r="P14">
        <f t="shared" si="6"/>
        <v>0</v>
      </c>
      <c r="Q14">
        <f t="shared" si="5"/>
        <v>0</v>
      </c>
      <c r="S14">
        <f t="shared" si="3"/>
        <v>4060</v>
      </c>
    </row>
    <row r="15" spans="1:19">
      <c r="A15">
        <f>B15-E15</f>
        <v>3</v>
      </c>
      <c r="B15">
        <v>4096</v>
      </c>
      <c r="C15">
        <v>1</v>
      </c>
      <c r="D15">
        <f>(B15-3)/C15</f>
        <v>4093</v>
      </c>
      <c r="E15">
        <f>D15*C15</f>
        <v>4093</v>
      </c>
      <c r="F15">
        <f t="shared" ref="F15:F21" si="12">B15*4</f>
        <v>16384</v>
      </c>
      <c r="G15">
        <f t="shared" si="8"/>
        <v>40</v>
      </c>
      <c r="H15">
        <v>4</v>
      </c>
      <c r="I15">
        <v>5</v>
      </c>
      <c r="J15">
        <f t="shared" si="0"/>
        <v>20480</v>
      </c>
      <c r="K15">
        <f t="shared" si="10"/>
        <v>512</v>
      </c>
      <c r="L15" s="1">
        <f t="shared" si="11"/>
        <v>0</v>
      </c>
      <c r="M15" s="1">
        <f t="shared" si="9"/>
        <v>7.4999999999999997E-2</v>
      </c>
      <c r="N15">
        <f t="shared" si="7"/>
        <v>5</v>
      </c>
      <c r="O15">
        <v>8</v>
      </c>
      <c r="P15">
        <f t="shared" si="6"/>
        <v>0</v>
      </c>
      <c r="Q15">
        <f t="shared" si="5"/>
        <v>0</v>
      </c>
      <c r="S15">
        <f t="shared" si="3"/>
        <v>4056</v>
      </c>
    </row>
    <row r="16" spans="1:19">
      <c r="A16">
        <f t="shared" ref="A16:A22" si="13">B16-E16</f>
        <v>1</v>
      </c>
      <c r="B16">
        <f>B15</f>
        <v>4096</v>
      </c>
      <c r="C16">
        <v>3</v>
      </c>
      <c r="D16">
        <f t="shared" ref="D16:D19" si="14">FLOOR((B16-1)/C16,1)</f>
        <v>1365</v>
      </c>
      <c r="E16">
        <f t="shared" ref="E16:E22" si="15">D16*C16</f>
        <v>4095</v>
      </c>
      <c r="F16">
        <f t="shared" si="12"/>
        <v>16384</v>
      </c>
      <c r="G16">
        <f t="shared" si="8"/>
        <v>44</v>
      </c>
      <c r="H16">
        <v>4</v>
      </c>
      <c r="I16">
        <v>11</v>
      </c>
      <c r="J16">
        <f t="shared" si="0"/>
        <v>45056</v>
      </c>
      <c r="K16">
        <f t="shared" si="10"/>
        <v>1024</v>
      </c>
      <c r="L16" s="1">
        <f t="shared" si="11"/>
        <v>0</v>
      </c>
      <c r="M16" s="1">
        <f t="shared" si="9"/>
        <v>6.8181818181818177E-2</v>
      </c>
      <c r="N16">
        <f t="shared" si="7"/>
        <v>11</v>
      </c>
      <c r="O16">
        <v>4</v>
      </c>
      <c r="P16">
        <f t="shared" si="6"/>
        <v>0</v>
      </c>
      <c r="Q16">
        <f t="shared" si="5"/>
        <v>0</v>
      </c>
      <c r="S16">
        <f t="shared" si="3"/>
        <v>4052</v>
      </c>
    </row>
    <row r="17" spans="1:19">
      <c r="A17">
        <f t="shared" si="13"/>
        <v>1</v>
      </c>
      <c r="B17">
        <f t="shared" ref="B17:B22" si="16">B16</f>
        <v>4096</v>
      </c>
      <c r="C17">
        <v>5</v>
      </c>
      <c r="D17">
        <f t="shared" si="14"/>
        <v>819</v>
      </c>
      <c r="E17">
        <f t="shared" si="15"/>
        <v>4095</v>
      </c>
      <c r="F17">
        <f t="shared" si="12"/>
        <v>16384</v>
      </c>
      <c r="G17">
        <f t="shared" si="8"/>
        <v>48</v>
      </c>
      <c r="H17">
        <v>4</v>
      </c>
      <c r="I17">
        <v>3</v>
      </c>
      <c r="J17">
        <f t="shared" si="0"/>
        <v>12288</v>
      </c>
      <c r="K17">
        <f t="shared" si="10"/>
        <v>256</v>
      </c>
      <c r="L17" s="1">
        <f t="shared" si="11"/>
        <v>0</v>
      </c>
      <c r="M17" s="1">
        <f t="shared" si="9"/>
        <v>6.25E-2</v>
      </c>
      <c r="N17">
        <f t="shared" si="7"/>
        <v>3</v>
      </c>
      <c r="O17">
        <v>16</v>
      </c>
      <c r="P17">
        <f t="shared" si="6"/>
        <v>0</v>
      </c>
      <c r="Q17">
        <f t="shared" si="5"/>
        <v>0</v>
      </c>
      <c r="S17">
        <f t="shared" si="3"/>
        <v>4048</v>
      </c>
    </row>
    <row r="18" spans="1:19">
      <c r="A18">
        <f t="shared" si="13"/>
        <v>1</v>
      </c>
      <c r="B18">
        <f t="shared" si="16"/>
        <v>4096</v>
      </c>
      <c r="C18">
        <v>7</v>
      </c>
      <c r="D18">
        <f t="shared" si="14"/>
        <v>585</v>
      </c>
      <c r="E18">
        <f t="shared" si="15"/>
        <v>4095</v>
      </c>
      <c r="F18">
        <f t="shared" si="12"/>
        <v>16384</v>
      </c>
      <c r="G18">
        <f t="shared" si="8"/>
        <v>52</v>
      </c>
      <c r="H18">
        <v>4</v>
      </c>
      <c r="I18">
        <v>13</v>
      </c>
      <c r="J18">
        <f t="shared" si="0"/>
        <v>53248</v>
      </c>
      <c r="K18">
        <f t="shared" si="10"/>
        <v>1024</v>
      </c>
      <c r="L18" s="1">
        <f t="shared" si="11"/>
        <v>0</v>
      </c>
      <c r="M18" s="1">
        <f t="shared" si="9"/>
        <v>5.7692307692307696E-2</v>
      </c>
      <c r="N18">
        <f t="shared" si="7"/>
        <v>13</v>
      </c>
      <c r="O18">
        <v>4</v>
      </c>
      <c r="P18">
        <f t="shared" si="6"/>
        <v>0</v>
      </c>
      <c r="Q18">
        <f t="shared" si="5"/>
        <v>0</v>
      </c>
      <c r="S18">
        <f t="shared" si="3"/>
        <v>4044</v>
      </c>
    </row>
    <row r="19" spans="1:19">
      <c r="A19">
        <f t="shared" si="13"/>
        <v>1</v>
      </c>
      <c r="B19">
        <f t="shared" si="16"/>
        <v>4096</v>
      </c>
      <c r="C19">
        <v>9</v>
      </c>
      <c r="D19">
        <f t="shared" si="14"/>
        <v>455</v>
      </c>
      <c r="E19">
        <f t="shared" si="15"/>
        <v>4095</v>
      </c>
      <c r="F19">
        <f t="shared" si="12"/>
        <v>16384</v>
      </c>
      <c r="G19">
        <f t="shared" si="8"/>
        <v>56</v>
      </c>
      <c r="H19">
        <v>4</v>
      </c>
      <c r="I19">
        <v>7</v>
      </c>
      <c r="J19">
        <f t="shared" si="0"/>
        <v>28672</v>
      </c>
      <c r="K19">
        <f t="shared" si="10"/>
        <v>512</v>
      </c>
      <c r="L19" s="1">
        <f t="shared" si="11"/>
        <v>0</v>
      </c>
      <c r="M19" s="1">
        <f t="shared" si="9"/>
        <v>5.3571428571428568E-2</v>
      </c>
      <c r="N19">
        <f t="shared" si="7"/>
        <v>7</v>
      </c>
      <c r="O19">
        <v>8</v>
      </c>
      <c r="P19">
        <f t="shared" si="6"/>
        <v>0</v>
      </c>
      <c r="Q19">
        <f t="shared" si="5"/>
        <v>0</v>
      </c>
      <c r="S19">
        <f t="shared" si="3"/>
        <v>4040</v>
      </c>
    </row>
    <row r="20" spans="1:19">
      <c r="A20">
        <f t="shared" si="13"/>
        <v>4</v>
      </c>
      <c r="B20">
        <f t="shared" si="16"/>
        <v>4096</v>
      </c>
      <c r="C20">
        <v>11</v>
      </c>
      <c r="D20">
        <f>FLOOR((B20-1)/C20,1)</f>
        <v>372</v>
      </c>
      <c r="E20">
        <f t="shared" si="15"/>
        <v>4092</v>
      </c>
      <c r="F20">
        <f t="shared" si="12"/>
        <v>16384</v>
      </c>
      <c r="G20">
        <f t="shared" si="8"/>
        <v>60</v>
      </c>
      <c r="H20">
        <v>4</v>
      </c>
      <c r="I20">
        <v>15</v>
      </c>
      <c r="J20">
        <f t="shared" si="0"/>
        <v>61440</v>
      </c>
      <c r="K20">
        <f t="shared" si="10"/>
        <v>1024</v>
      </c>
      <c r="L20" s="1">
        <f t="shared" si="11"/>
        <v>0</v>
      </c>
      <c r="M20" s="1">
        <f t="shared" si="9"/>
        <v>0.05</v>
      </c>
      <c r="N20">
        <f t="shared" si="7"/>
        <v>15</v>
      </c>
      <c r="O20">
        <v>4</v>
      </c>
      <c r="P20">
        <f t="shared" si="6"/>
        <v>0</v>
      </c>
      <c r="Q20">
        <f t="shared" si="5"/>
        <v>0</v>
      </c>
      <c r="S20">
        <f t="shared" si="3"/>
        <v>4036</v>
      </c>
    </row>
    <row r="21" spans="1:19">
      <c r="A21">
        <f t="shared" si="13"/>
        <v>1</v>
      </c>
      <c r="B21">
        <f t="shared" si="16"/>
        <v>4096</v>
      </c>
      <c r="C21">
        <v>13</v>
      </c>
      <c r="D21">
        <f t="shared" ref="D21:D22" si="17">FLOOR((B21-1)/C21,1)</f>
        <v>315</v>
      </c>
      <c r="E21">
        <f t="shared" si="15"/>
        <v>4095</v>
      </c>
      <c r="F21">
        <f t="shared" si="12"/>
        <v>16384</v>
      </c>
      <c r="G21">
        <f t="shared" si="8"/>
        <v>64</v>
      </c>
      <c r="H21">
        <v>4</v>
      </c>
      <c r="I21">
        <v>1</v>
      </c>
      <c r="J21">
        <f t="shared" si="0"/>
        <v>4096</v>
      </c>
      <c r="K21">
        <f t="shared" si="10"/>
        <v>64</v>
      </c>
      <c r="L21" s="1">
        <f t="shared" si="11"/>
        <v>0</v>
      </c>
      <c r="M21" s="1">
        <f t="shared" si="9"/>
        <v>4.6875E-2</v>
      </c>
      <c r="N21">
        <f t="shared" si="7"/>
        <v>1</v>
      </c>
      <c r="O21">
        <v>64</v>
      </c>
      <c r="P21">
        <f t="shared" si="6"/>
        <v>0</v>
      </c>
      <c r="Q21">
        <f t="shared" si="5"/>
        <v>0</v>
      </c>
      <c r="S21">
        <f t="shared" si="3"/>
        <v>4032</v>
      </c>
    </row>
    <row r="22" spans="1:19">
      <c r="A22">
        <f t="shared" si="13"/>
        <v>1</v>
      </c>
      <c r="B22">
        <f t="shared" si="16"/>
        <v>4096</v>
      </c>
      <c r="C22">
        <v>15</v>
      </c>
      <c r="D22">
        <f t="shared" si="17"/>
        <v>273</v>
      </c>
      <c r="E22">
        <f t="shared" si="15"/>
        <v>4095</v>
      </c>
      <c r="F22">
        <f>B22*4</f>
        <v>16384</v>
      </c>
      <c r="G22">
        <f t="shared" si="8"/>
        <v>72</v>
      </c>
      <c r="H22">
        <v>8</v>
      </c>
      <c r="I22">
        <v>9</v>
      </c>
      <c r="J22">
        <f t="shared" si="0"/>
        <v>36864</v>
      </c>
      <c r="K22">
        <f t="shared" si="10"/>
        <v>512</v>
      </c>
      <c r="L22" s="1">
        <f t="shared" si="11"/>
        <v>0</v>
      </c>
      <c r="M22" s="1">
        <f t="shared" si="9"/>
        <v>9.7222222222222224E-2</v>
      </c>
      <c r="N22">
        <f t="shared" si="7"/>
        <v>9</v>
      </c>
      <c r="O22">
        <v>4</v>
      </c>
      <c r="P22">
        <f t="shared" si="6"/>
        <v>0</v>
      </c>
      <c r="Q22">
        <f t="shared" si="5"/>
        <v>0</v>
      </c>
      <c r="S22">
        <f t="shared" si="3"/>
        <v>4024</v>
      </c>
    </row>
    <row r="23" spans="1:19">
      <c r="F23">
        <f>SUM(F15:F22)</f>
        <v>131072</v>
      </c>
      <c r="G23">
        <f t="shared" si="8"/>
        <v>80</v>
      </c>
      <c r="H23">
        <f>H22</f>
        <v>8</v>
      </c>
      <c r="I23">
        <v>5</v>
      </c>
      <c r="J23">
        <f t="shared" si="0"/>
        <v>20480</v>
      </c>
      <c r="K23">
        <f t="shared" si="10"/>
        <v>256</v>
      </c>
      <c r="L23" s="1">
        <f t="shared" si="11"/>
        <v>0</v>
      </c>
      <c r="M23" s="1">
        <f t="shared" si="9"/>
        <v>8.7499999999999994E-2</v>
      </c>
      <c r="N23">
        <f t="shared" si="7"/>
        <v>5</v>
      </c>
      <c r="O23">
        <v>16</v>
      </c>
      <c r="P23">
        <f t="shared" si="6"/>
        <v>0</v>
      </c>
      <c r="Q23">
        <f t="shared" si="5"/>
        <v>0</v>
      </c>
      <c r="S23">
        <f t="shared" si="3"/>
        <v>4016</v>
      </c>
    </row>
    <row r="24" spans="1:19">
      <c r="F24">
        <f>F23*64</f>
        <v>8388608</v>
      </c>
      <c r="G24">
        <f t="shared" si="8"/>
        <v>88</v>
      </c>
      <c r="H24">
        <f t="shared" ref="H24:H87" si="18">H23</f>
        <v>8</v>
      </c>
      <c r="I24">
        <v>11</v>
      </c>
      <c r="J24">
        <f>4096*I24</f>
        <v>45056</v>
      </c>
      <c r="K24">
        <f t="shared" si="10"/>
        <v>512</v>
      </c>
      <c r="L24" s="1">
        <f t="shared" si="11"/>
        <v>0</v>
      </c>
      <c r="M24" s="1">
        <f t="shared" si="9"/>
        <v>7.9545454545454544E-2</v>
      </c>
      <c r="N24">
        <f t="shared" si="7"/>
        <v>11</v>
      </c>
      <c r="O24">
        <v>8</v>
      </c>
      <c r="P24">
        <f t="shared" si="6"/>
        <v>0</v>
      </c>
      <c r="Q24">
        <f t="shared" si="5"/>
        <v>0</v>
      </c>
      <c r="S24">
        <f t="shared" si="3"/>
        <v>4008</v>
      </c>
    </row>
    <row r="25" spans="1:19">
      <c r="G25">
        <f t="shared" si="8"/>
        <v>96</v>
      </c>
      <c r="H25">
        <f t="shared" si="18"/>
        <v>8</v>
      </c>
      <c r="I25">
        <v>3</v>
      </c>
      <c r="J25">
        <f t="shared" ref="J25:J88" si="19">4096*I25</f>
        <v>12288</v>
      </c>
      <c r="K25">
        <f t="shared" si="10"/>
        <v>128</v>
      </c>
      <c r="L25" s="1">
        <f t="shared" si="11"/>
        <v>0</v>
      </c>
      <c r="M25" s="1">
        <f t="shared" si="9"/>
        <v>7.2916666666666671E-2</v>
      </c>
      <c r="N25">
        <f t="shared" si="7"/>
        <v>3</v>
      </c>
      <c r="O25">
        <v>32</v>
      </c>
      <c r="P25">
        <f t="shared" si="6"/>
        <v>0</v>
      </c>
      <c r="Q25">
        <f t="shared" si="5"/>
        <v>0</v>
      </c>
      <c r="S25">
        <f t="shared" si="3"/>
        <v>4000</v>
      </c>
    </row>
    <row r="26" spans="1:19">
      <c r="G26">
        <f t="shared" si="8"/>
        <v>104</v>
      </c>
      <c r="H26">
        <f t="shared" si="18"/>
        <v>8</v>
      </c>
      <c r="I26">
        <v>13</v>
      </c>
      <c r="J26">
        <f t="shared" si="19"/>
        <v>53248</v>
      </c>
      <c r="K26">
        <f t="shared" si="10"/>
        <v>512</v>
      </c>
      <c r="L26" s="1">
        <f t="shared" si="11"/>
        <v>0</v>
      </c>
      <c r="M26" s="1">
        <f t="shared" si="9"/>
        <v>6.7307692307692304E-2</v>
      </c>
      <c r="N26">
        <f t="shared" si="7"/>
        <v>13</v>
      </c>
      <c r="O26">
        <v>8</v>
      </c>
      <c r="P26">
        <f t="shared" si="6"/>
        <v>0</v>
      </c>
      <c r="Q26">
        <f t="shared" si="5"/>
        <v>0</v>
      </c>
      <c r="S26">
        <f t="shared" si="3"/>
        <v>3992</v>
      </c>
    </row>
    <row r="27" spans="1:19">
      <c r="G27">
        <f t="shared" si="8"/>
        <v>112</v>
      </c>
      <c r="H27">
        <f t="shared" si="18"/>
        <v>8</v>
      </c>
      <c r="I27">
        <v>7</v>
      </c>
      <c r="J27">
        <f t="shared" si="19"/>
        <v>28672</v>
      </c>
      <c r="K27">
        <f t="shared" si="10"/>
        <v>256</v>
      </c>
      <c r="L27" s="1">
        <f t="shared" si="11"/>
        <v>0</v>
      </c>
      <c r="M27" s="1">
        <f t="shared" si="9"/>
        <v>6.25E-2</v>
      </c>
      <c r="N27">
        <f t="shared" si="7"/>
        <v>7</v>
      </c>
      <c r="O27">
        <v>16</v>
      </c>
      <c r="P27">
        <f t="shared" si="6"/>
        <v>0</v>
      </c>
      <c r="Q27">
        <f t="shared" si="5"/>
        <v>0</v>
      </c>
      <c r="S27">
        <f t="shared" si="3"/>
        <v>3984</v>
      </c>
    </row>
    <row r="28" spans="1:19">
      <c r="G28">
        <f t="shared" si="8"/>
        <v>120</v>
      </c>
      <c r="H28">
        <f t="shared" si="18"/>
        <v>8</v>
      </c>
      <c r="I28">
        <v>15</v>
      </c>
      <c r="J28">
        <f t="shared" si="19"/>
        <v>61440</v>
      </c>
      <c r="K28">
        <f t="shared" si="10"/>
        <v>512</v>
      </c>
      <c r="L28" s="1">
        <f t="shared" si="11"/>
        <v>0</v>
      </c>
      <c r="M28" s="1">
        <f t="shared" si="9"/>
        <v>5.8333333333333334E-2</v>
      </c>
      <c r="N28">
        <f t="shared" si="7"/>
        <v>15</v>
      </c>
      <c r="O28">
        <v>8</v>
      </c>
      <c r="P28">
        <f t="shared" si="6"/>
        <v>0</v>
      </c>
      <c r="Q28">
        <f t="shared" si="5"/>
        <v>0</v>
      </c>
      <c r="S28">
        <f t="shared" si="3"/>
        <v>3976</v>
      </c>
    </row>
    <row r="29" spans="1:19">
      <c r="G29">
        <f t="shared" si="8"/>
        <v>128</v>
      </c>
      <c r="H29">
        <f t="shared" si="18"/>
        <v>8</v>
      </c>
      <c r="I29">
        <v>1</v>
      </c>
      <c r="J29">
        <f t="shared" si="19"/>
        <v>4096</v>
      </c>
      <c r="K29">
        <f t="shared" si="10"/>
        <v>32</v>
      </c>
      <c r="L29" s="1">
        <f t="shared" si="11"/>
        <v>0</v>
      </c>
      <c r="M29" s="1">
        <f t="shared" si="9"/>
        <v>5.46875E-2</v>
      </c>
      <c r="N29">
        <f t="shared" si="7"/>
        <v>1</v>
      </c>
      <c r="O29">
        <v>128</v>
      </c>
      <c r="P29">
        <f t="shared" si="6"/>
        <v>0</v>
      </c>
      <c r="Q29">
        <f t="shared" si="5"/>
        <v>0</v>
      </c>
      <c r="S29">
        <f t="shared" si="3"/>
        <v>3968</v>
      </c>
    </row>
    <row r="30" spans="1:19">
      <c r="G30">
        <f t="shared" si="8"/>
        <v>144</v>
      </c>
      <c r="H30">
        <v>16</v>
      </c>
      <c r="I30">
        <v>9</v>
      </c>
      <c r="J30">
        <f t="shared" si="19"/>
        <v>36864</v>
      </c>
      <c r="K30">
        <f t="shared" si="10"/>
        <v>256</v>
      </c>
      <c r="L30" s="1">
        <f t="shared" si="11"/>
        <v>0</v>
      </c>
      <c r="M30" s="1">
        <f t="shared" si="9"/>
        <v>0.10416666666666667</v>
      </c>
      <c r="N30">
        <f t="shared" si="7"/>
        <v>9</v>
      </c>
      <c r="O30">
        <v>16</v>
      </c>
      <c r="P30">
        <f t="shared" si="6"/>
        <v>0</v>
      </c>
      <c r="Q30">
        <f t="shared" si="5"/>
        <v>0</v>
      </c>
      <c r="S30">
        <f t="shared" si="3"/>
        <v>3952</v>
      </c>
    </row>
    <row r="31" spans="1:19">
      <c r="G31">
        <f t="shared" si="8"/>
        <v>160</v>
      </c>
      <c r="H31">
        <f t="shared" si="18"/>
        <v>16</v>
      </c>
      <c r="I31">
        <v>5</v>
      </c>
      <c r="J31">
        <f t="shared" si="19"/>
        <v>20480</v>
      </c>
      <c r="K31">
        <f t="shared" si="10"/>
        <v>128</v>
      </c>
      <c r="L31" s="1">
        <f t="shared" si="11"/>
        <v>0</v>
      </c>
      <c r="M31" s="1">
        <f t="shared" si="9"/>
        <v>9.375E-2</v>
      </c>
      <c r="N31">
        <f t="shared" si="7"/>
        <v>5</v>
      </c>
      <c r="O31">
        <v>32</v>
      </c>
      <c r="P31">
        <f t="shared" si="6"/>
        <v>0</v>
      </c>
      <c r="Q31">
        <f t="shared" si="5"/>
        <v>0</v>
      </c>
      <c r="S31">
        <f t="shared" si="3"/>
        <v>3936</v>
      </c>
    </row>
    <row r="32" spans="1:19">
      <c r="G32">
        <f t="shared" si="8"/>
        <v>176</v>
      </c>
      <c r="H32">
        <f t="shared" si="18"/>
        <v>16</v>
      </c>
      <c r="I32">
        <v>11</v>
      </c>
      <c r="J32">
        <f t="shared" si="19"/>
        <v>45056</v>
      </c>
      <c r="K32">
        <f t="shared" si="10"/>
        <v>256</v>
      </c>
      <c r="L32" s="1">
        <f t="shared" si="11"/>
        <v>0</v>
      </c>
      <c r="M32" s="1">
        <f t="shared" si="9"/>
        <v>8.5227272727272721E-2</v>
      </c>
      <c r="N32">
        <f t="shared" si="7"/>
        <v>11</v>
      </c>
      <c r="O32">
        <v>16</v>
      </c>
      <c r="P32">
        <f t="shared" si="6"/>
        <v>0</v>
      </c>
      <c r="Q32">
        <f t="shared" si="5"/>
        <v>0</v>
      </c>
      <c r="S32">
        <f t="shared" si="3"/>
        <v>3920</v>
      </c>
    </row>
    <row r="33" spans="4:19">
      <c r="G33">
        <f t="shared" si="8"/>
        <v>192</v>
      </c>
      <c r="H33">
        <f t="shared" si="18"/>
        <v>16</v>
      </c>
      <c r="I33">
        <v>3</v>
      </c>
      <c r="J33">
        <f t="shared" si="19"/>
        <v>12288</v>
      </c>
      <c r="K33">
        <f t="shared" si="10"/>
        <v>64</v>
      </c>
      <c r="L33" s="1">
        <f t="shared" si="11"/>
        <v>0</v>
      </c>
      <c r="M33" s="1">
        <f t="shared" si="9"/>
        <v>7.8125E-2</v>
      </c>
      <c r="N33">
        <f t="shared" si="7"/>
        <v>3</v>
      </c>
      <c r="O33">
        <v>64</v>
      </c>
      <c r="P33">
        <f t="shared" si="6"/>
        <v>0</v>
      </c>
      <c r="Q33">
        <f t="shared" si="5"/>
        <v>0</v>
      </c>
      <c r="S33">
        <f t="shared" si="3"/>
        <v>3904</v>
      </c>
    </row>
    <row r="34" spans="4:19">
      <c r="G34">
        <f t="shared" si="8"/>
        <v>208</v>
      </c>
      <c r="H34">
        <f t="shared" si="18"/>
        <v>16</v>
      </c>
      <c r="I34">
        <v>13</v>
      </c>
      <c r="J34">
        <f t="shared" si="19"/>
        <v>53248</v>
      </c>
      <c r="K34">
        <f t="shared" si="10"/>
        <v>256</v>
      </c>
      <c r="L34" s="1">
        <f t="shared" si="11"/>
        <v>0</v>
      </c>
      <c r="M34" s="1">
        <f t="shared" si="9"/>
        <v>7.2115384615384609E-2</v>
      </c>
      <c r="N34">
        <f t="shared" si="7"/>
        <v>13</v>
      </c>
      <c r="O34">
        <v>16</v>
      </c>
      <c r="P34">
        <f t="shared" si="6"/>
        <v>0</v>
      </c>
      <c r="Q34">
        <f t="shared" si="5"/>
        <v>0</v>
      </c>
      <c r="S34">
        <f t="shared" si="3"/>
        <v>3888</v>
      </c>
    </row>
    <row r="35" spans="4:19">
      <c r="G35">
        <f t="shared" si="8"/>
        <v>224</v>
      </c>
      <c r="H35">
        <f t="shared" si="18"/>
        <v>16</v>
      </c>
      <c r="I35">
        <v>7</v>
      </c>
      <c r="J35">
        <f t="shared" si="19"/>
        <v>28672</v>
      </c>
      <c r="K35">
        <f t="shared" si="10"/>
        <v>128</v>
      </c>
      <c r="L35" s="1">
        <f t="shared" si="11"/>
        <v>0</v>
      </c>
      <c r="M35" s="1">
        <f t="shared" si="9"/>
        <v>6.6964285714285712E-2</v>
      </c>
      <c r="N35">
        <f t="shared" si="7"/>
        <v>7</v>
      </c>
      <c r="O35">
        <v>32</v>
      </c>
      <c r="P35">
        <f t="shared" si="6"/>
        <v>0</v>
      </c>
      <c r="Q35">
        <f t="shared" si="5"/>
        <v>0</v>
      </c>
      <c r="S35">
        <f t="shared" si="3"/>
        <v>3872</v>
      </c>
    </row>
    <row r="36" spans="4:19">
      <c r="G36">
        <f t="shared" si="8"/>
        <v>240</v>
      </c>
      <c r="H36">
        <f t="shared" si="18"/>
        <v>16</v>
      </c>
      <c r="I36">
        <v>15</v>
      </c>
      <c r="J36">
        <f t="shared" si="19"/>
        <v>61440</v>
      </c>
      <c r="K36">
        <f t="shared" si="10"/>
        <v>256</v>
      </c>
      <c r="L36" s="1">
        <f t="shared" si="11"/>
        <v>0</v>
      </c>
      <c r="M36" s="1">
        <f t="shared" si="9"/>
        <v>6.25E-2</v>
      </c>
      <c r="N36">
        <f t="shared" si="7"/>
        <v>15</v>
      </c>
      <c r="O36">
        <v>16</v>
      </c>
      <c r="P36">
        <f t="shared" si="6"/>
        <v>0</v>
      </c>
      <c r="Q36">
        <f t="shared" si="5"/>
        <v>0</v>
      </c>
      <c r="S36">
        <f t="shared" si="3"/>
        <v>3856</v>
      </c>
    </row>
    <row r="37" spans="4:19">
      <c r="D37">
        <f>I37</f>
        <v>1</v>
      </c>
      <c r="E37" s="1">
        <f t="shared" ref="E37:E100" si="20">(F37 - FLOOR(F37,1))/F37</f>
        <v>0</v>
      </c>
      <c r="F37">
        <f>$E$15/I37</f>
        <v>4093</v>
      </c>
      <c r="G37">
        <f t="shared" si="8"/>
        <v>256</v>
      </c>
      <c r="H37">
        <f t="shared" si="18"/>
        <v>16</v>
      </c>
      <c r="I37">
        <v>1</v>
      </c>
      <c r="J37">
        <f t="shared" si="19"/>
        <v>4096</v>
      </c>
      <c r="K37">
        <f t="shared" si="10"/>
        <v>16</v>
      </c>
      <c r="L37" s="1">
        <f t="shared" si="11"/>
        <v>0</v>
      </c>
      <c r="M37" s="1">
        <f t="shared" si="9"/>
        <v>5.859375E-2</v>
      </c>
      <c r="N37">
        <f t="shared" si="7"/>
        <v>1</v>
      </c>
      <c r="O37">
        <v>256</v>
      </c>
      <c r="P37">
        <f t="shared" si="6"/>
        <v>0</v>
      </c>
      <c r="Q37">
        <f t="shared" si="5"/>
        <v>0</v>
      </c>
      <c r="S37">
        <f t="shared" si="3"/>
        <v>3840</v>
      </c>
    </row>
    <row r="38" spans="4:19">
      <c r="D38">
        <f>I38/9</f>
        <v>1</v>
      </c>
      <c r="E38" s="1">
        <f t="shared" si="20"/>
        <v>0</v>
      </c>
      <c r="F38">
        <f>$E$19/I38</f>
        <v>455</v>
      </c>
      <c r="G38">
        <f t="shared" si="8"/>
        <v>288</v>
      </c>
      <c r="H38">
        <v>32</v>
      </c>
      <c r="I38">
        <v>9</v>
      </c>
      <c r="J38">
        <f t="shared" si="19"/>
        <v>36864</v>
      </c>
      <c r="K38">
        <f t="shared" si="10"/>
        <v>128</v>
      </c>
      <c r="L38" s="1">
        <f t="shared" si="11"/>
        <v>0</v>
      </c>
      <c r="M38" s="1">
        <f t="shared" si="9"/>
        <v>0.1076388888888889</v>
      </c>
      <c r="N38">
        <f t="shared" si="7"/>
        <v>9</v>
      </c>
      <c r="O38">
        <v>32</v>
      </c>
      <c r="P38">
        <f t="shared" si="6"/>
        <v>0</v>
      </c>
      <c r="Q38">
        <f t="shared" si="5"/>
        <v>0</v>
      </c>
      <c r="S38">
        <f t="shared" si="3"/>
        <v>3808</v>
      </c>
    </row>
    <row r="39" spans="4:19">
      <c r="D39">
        <f>I39/5</f>
        <v>1</v>
      </c>
      <c r="E39" s="1">
        <f t="shared" si="20"/>
        <v>0</v>
      </c>
      <c r="F39">
        <f>$E$17/I39</f>
        <v>819</v>
      </c>
      <c r="G39">
        <f t="shared" si="8"/>
        <v>320</v>
      </c>
      <c r="H39">
        <f t="shared" si="18"/>
        <v>32</v>
      </c>
      <c r="I39">
        <v>5</v>
      </c>
      <c r="J39">
        <f t="shared" si="19"/>
        <v>20480</v>
      </c>
      <c r="K39">
        <f t="shared" si="10"/>
        <v>64</v>
      </c>
      <c r="L39" s="1">
        <f t="shared" si="11"/>
        <v>0</v>
      </c>
      <c r="M39" s="1">
        <f t="shared" si="9"/>
        <v>9.6875000000000003E-2</v>
      </c>
      <c r="N39">
        <f t="shared" si="7"/>
        <v>5</v>
      </c>
      <c r="O39">
        <v>64</v>
      </c>
      <c r="P39">
        <f t="shared" si="6"/>
        <v>0</v>
      </c>
      <c r="Q39">
        <f t="shared" si="5"/>
        <v>0</v>
      </c>
      <c r="S39">
        <f t="shared" si="3"/>
        <v>3776</v>
      </c>
    </row>
    <row r="40" spans="4:19">
      <c r="D40">
        <f>I40/11</f>
        <v>1</v>
      </c>
      <c r="E40" s="1">
        <f t="shared" si="20"/>
        <v>0</v>
      </c>
      <c r="F40">
        <f>$E$20/I40</f>
        <v>372</v>
      </c>
      <c r="G40">
        <f t="shared" si="8"/>
        <v>352</v>
      </c>
      <c r="H40">
        <f t="shared" si="18"/>
        <v>32</v>
      </c>
      <c r="I40">
        <v>11</v>
      </c>
      <c r="J40">
        <f t="shared" si="19"/>
        <v>45056</v>
      </c>
      <c r="K40">
        <f t="shared" si="10"/>
        <v>128</v>
      </c>
      <c r="L40" s="1">
        <f t="shared" si="11"/>
        <v>0</v>
      </c>
      <c r="M40" s="1">
        <f t="shared" si="9"/>
        <v>8.8068181818181823E-2</v>
      </c>
      <c r="N40">
        <f t="shared" si="7"/>
        <v>11</v>
      </c>
      <c r="O40">
        <v>32</v>
      </c>
      <c r="P40">
        <f t="shared" si="6"/>
        <v>0</v>
      </c>
      <c r="Q40">
        <f t="shared" si="5"/>
        <v>0</v>
      </c>
      <c r="S40">
        <f t="shared" si="3"/>
        <v>3744</v>
      </c>
    </row>
    <row r="41" spans="4:19">
      <c r="D41">
        <f>I41/3</f>
        <v>1</v>
      </c>
      <c r="E41" s="1">
        <f t="shared" si="20"/>
        <v>0</v>
      </c>
      <c r="F41">
        <f>$E$16/I41</f>
        <v>1365</v>
      </c>
      <c r="G41">
        <f t="shared" si="8"/>
        <v>384</v>
      </c>
      <c r="H41">
        <f t="shared" si="18"/>
        <v>32</v>
      </c>
      <c r="I41">
        <v>3</v>
      </c>
      <c r="J41">
        <f t="shared" si="19"/>
        <v>12288</v>
      </c>
      <c r="K41">
        <f t="shared" si="10"/>
        <v>32</v>
      </c>
      <c r="L41" s="1">
        <f t="shared" si="11"/>
        <v>0</v>
      </c>
      <c r="M41" s="1">
        <f t="shared" si="9"/>
        <v>8.0729166666666671E-2</v>
      </c>
      <c r="N41">
        <f t="shared" si="7"/>
        <v>3</v>
      </c>
      <c r="O41">
        <v>128</v>
      </c>
      <c r="P41">
        <f t="shared" si="6"/>
        <v>0</v>
      </c>
      <c r="Q41">
        <f t="shared" si="5"/>
        <v>0</v>
      </c>
      <c r="S41">
        <f t="shared" si="3"/>
        <v>3712</v>
      </c>
    </row>
    <row r="42" spans="4:19">
      <c r="D42">
        <f>I42/13</f>
        <v>1</v>
      </c>
      <c r="E42" s="1">
        <f t="shared" si="20"/>
        <v>0</v>
      </c>
      <c r="F42">
        <f>$E$21/I42</f>
        <v>315</v>
      </c>
      <c r="G42">
        <f t="shared" si="8"/>
        <v>416</v>
      </c>
      <c r="H42">
        <f t="shared" si="18"/>
        <v>32</v>
      </c>
      <c r="I42">
        <v>13</v>
      </c>
      <c r="J42">
        <f t="shared" si="19"/>
        <v>53248</v>
      </c>
      <c r="K42">
        <f t="shared" si="10"/>
        <v>128</v>
      </c>
      <c r="L42" s="1">
        <f t="shared" si="11"/>
        <v>0</v>
      </c>
      <c r="M42" s="1">
        <f t="shared" si="9"/>
        <v>7.4519230769230768E-2</v>
      </c>
      <c r="N42">
        <f t="shared" si="7"/>
        <v>13</v>
      </c>
      <c r="O42">
        <v>32</v>
      </c>
      <c r="P42">
        <f t="shared" si="6"/>
        <v>0</v>
      </c>
      <c r="Q42">
        <f t="shared" si="5"/>
        <v>0</v>
      </c>
      <c r="S42">
        <f t="shared" si="3"/>
        <v>3680</v>
      </c>
    </row>
    <row r="43" spans="4:19">
      <c r="D43">
        <f>I43/7</f>
        <v>1</v>
      </c>
      <c r="E43" s="1">
        <f t="shared" si="20"/>
        <v>0</v>
      </c>
      <c r="F43">
        <f>$E$18/I43</f>
        <v>585</v>
      </c>
      <c r="G43">
        <f t="shared" si="8"/>
        <v>448</v>
      </c>
      <c r="H43">
        <f t="shared" si="18"/>
        <v>32</v>
      </c>
      <c r="I43">
        <v>7</v>
      </c>
      <c r="J43">
        <f t="shared" si="19"/>
        <v>28672</v>
      </c>
      <c r="K43">
        <f t="shared" si="10"/>
        <v>64</v>
      </c>
      <c r="L43" s="1">
        <f t="shared" si="11"/>
        <v>0</v>
      </c>
      <c r="M43" s="1">
        <f t="shared" si="9"/>
        <v>6.9196428571428575E-2</v>
      </c>
      <c r="N43">
        <f t="shared" si="7"/>
        <v>7</v>
      </c>
      <c r="O43">
        <v>64</v>
      </c>
      <c r="P43">
        <f t="shared" si="6"/>
        <v>0</v>
      </c>
      <c r="Q43">
        <f t="shared" si="5"/>
        <v>0</v>
      </c>
      <c r="S43">
        <f t="shared" si="3"/>
        <v>3648</v>
      </c>
    </row>
    <row r="44" spans="4:19">
      <c r="D44">
        <f>I44/15</f>
        <v>1</v>
      </c>
      <c r="E44" s="1">
        <f t="shared" si="20"/>
        <v>0</v>
      </c>
      <c r="F44">
        <f>$E$22/I44</f>
        <v>273</v>
      </c>
      <c r="G44">
        <f t="shared" si="8"/>
        <v>480</v>
      </c>
      <c r="H44">
        <f t="shared" si="18"/>
        <v>32</v>
      </c>
      <c r="I44">
        <v>15</v>
      </c>
      <c r="J44">
        <f t="shared" si="19"/>
        <v>61440</v>
      </c>
      <c r="K44">
        <f t="shared" si="10"/>
        <v>128</v>
      </c>
      <c r="L44" s="1">
        <f t="shared" si="11"/>
        <v>0</v>
      </c>
      <c r="M44" s="1">
        <f t="shared" si="9"/>
        <v>6.458333333333334E-2</v>
      </c>
      <c r="N44">
        <f t="shared" si="7"/>
        <v>15</v>
      </c>
      <c r="O44">
        <v>32</v>
      </c>
      <c r="P44">
        <f t="shared" si="6"/>
        <v>0</v>
      </c>
      <c r="Q44">
        <f t="shared" si="5"/>
        <v>0</v>
      </c>
      <c r="S44">
        <f t="shared" si="3"/>
        <v>3616</v>
      </c>
    </row>
    <row r="45" spans="4:19">
      <c r="D45">
        <f t="shared" ref="D45" si="21">I45</f>
        <v>1</v>
      </c>
      <c r="E45" s="1">
        <f t="shared" si="20"/>
        <v>0</v>
      </c>
      <c r="F45">
        <f>$E$15/I45</f>
        <v>4093</v>
      </c>
      <c r="G45">
        <f t="shared" si="8"/>
        <v>512</v>
      </c>
      <c r="H45">
        <f t="shared" si="18"/>
        <v>32</v>
      </c>
      <c r="I45">
        <v>1</v>
      </c>
      <c r="J45">
        <f t="shared" si="19"/>
        <v>4096</v>
      </c>
      <c r="K45">
        <f t="shared" si="10"/>
        <v>8</v>
      </c>
      <c r="L45" s="1">
        <f t="shared" si="11"/>
        <v>0</v>
      </c>
      <c r="M45" s="1">
        <f t="shared" si="9"/>
        <v>6.0546875E-2</v>
      </c>
      <c r="N45">
        <f t="shared" si="7"/>
        <v>1</v>
      </c>
      <c r="O45">
        <v>512</v>
      </c>
      <c r="P45">
        <f t="shared" si="6"/>
        <v>0</v>
      </c>
      <c r="Q45">
        <f t="shared" si="5"/>
        <v>0</v>
      </c>
      <c r="S45">
        <f t="shared" si="3"/>
        <v>3584</v>
      </c>
    </row>
    <row r="46" spans="4:19">
      <c r="D46">
        <f t="shared" ref="D46" si="22">I46/9</f>
        <v>1</v>
      </c>
      <c r="E46" s="1">
        <f t="shared" si="20"/>
        <v>0</v>
      </c>
      <c r="F46">
        <f>$E$19/I46</f>
        <v>455</v>
      </c>
      <c r="G46">
        <f t="shared" si="8"/>
        <v>576</v>
      </c>
      <c r="H46">
        <v>64</v>
      </c>
      <c r="I46">
        <v>9</v>
      </c>
      <c r="J46">
        <f t="shared" si="19"/>
        <v>36864</v>
      </c>
      <c r="K46">
        <f t="shared" si="10"/>
        <v>64</v>
      </c>
      <c r="L46" s="1">
        <f t="shared" si="11"/>
        <v>0</v>
      </c>
      <c r="M46" s="1">
        <f t="shared" si="9"/>
        <v>0.109375</v>
      </c>
      <c r="N46">
        <f t="shared" si="7"/>
        <v>9</v>
      </c>
      <c r="O46">
        <v>64</v>
      </c>
      <c r="P46">
        <f t="shared" si="6"/>
        <v>0</v>
      </c>
      <c r="Q46">
        <f t="shared" si="5"/>
        <v>0</v>
      </c>
      <c r="S46">
        <f t="shared" si="3"/>
        <v>3520</v>
      </c>
    </row>
    <row r="47" spans="4:19">
      <c r="D47">
        <f t="shared" ref="D47" si="23">I47/5</f>
        <v>1</v>
      </c>
      <c r="E47" s="1">
        <f t="shared" si="20"/>
        <v>0</v>
      </c>
      <c r="F47">
        <f>$E$17/I47</f>
        <v>819</v>
      </c>
      <c r="G47">
        <f t="shared" si="8"/>
        <v>640</v>
      </c>
      <c r="H47">
        <f t="shared" si="18"/>
        <v>64</v>
      </c>
      <c r="I47">
        <v>5</v>
      </c>
      <c r="J47">
        <f t="shared" si="19"/>
        <v>20480</v>
      </c>
      <c r="K47">
        <f t="shared" si="10"/>
        <v>32</v>
      </c>
      <c r="L47" s="1">
        <f t="shared" si="11"/>
        <v>0</v>
      </c>
      <c r="M47" s="1">
        <f t="shared" si="9"/>
        <v>9.8437499999999997E-2</v>
      </c>
      <c r="N47">
        <f t="shared" si="7"/>
        <v>5</v>
      </c>
      <c r="O47">
        <v>128</v>
      </c>
      <c r="P47">
        <f t="shared" si="6"/>
        <v>0</v>
      </c>
      <c r="Q47">
        <f t="shared" si="5"/>
        <v>0</v>
      </c>
      <c r="S47">
        <f t="shared" si="3"/>
        <v>3456</v>
      </c>
    </row>
    <row r="48" spans="4:19">
      <c r="D48">
        <f t="shared" ref="D48" si="24">I48/11</f>
        <v>1</v>
      </c>
      <c r="E48" s="1">
        <f t="shared" si="20"/>
        <v>0</v>
      </c>
      <c r="F48">
        <f>$E$20/I48</f>
        <v>372</v>
      </c>
      <c r="G48">
        <f t="shared" si="8"/>
        <v>704</v>
      </c>
      <c r="H48">
        <f t="shared" si="18"/>
        <v>64</v>
      </c>
      <c r="I48">
        <v>11</v>
      </c>
      <c r="J48">
        <f t="shared" si="19"/>
        <v>45056</v>
      </c>
      <c r="K48">
        <f t="shared" si="10"/>
        <v>64</v>
      </c>
      <c r="L48" s="1">
        <f t="shared" si="11"/>
        <v>0</v>
      </c>
      <c r="M48" s="1">
        <f t="shared" si="9"/>
        <v>8.9488636363636367E-2</v>
      </c>
      <c r="N48">
        <f t="shared" si="7"/>
        <v>11</v>
      </c>
      <c r="O48">
        <v>64</v>
      </c>
      <c r="P48">
        <f t="shared" si="6"/>
        <v>0</v>
      </c>
      <c r="Q48">
        <f t="shared" si="5"/>
        <v>0</v>
      </c>
      <c r="S48">
        <f t="shared" si="3"/>
        <v>3392</v>
      </c>
    </row>
    <row r="49" spans="4:19">
      <c r="D49">
        <f t="shared" ref="D49" si="25">I49/3</f>
        <v>1</v>
      </c>
      <c r="E49" s="1">
        <f t="shared" si="20"/>
        <v>0</v>
      </c>
      <c r="F49">
        <f>$E$16/I49</f>
        <v>1365</v>
      </c>
      <c r="G49">
        <f t="shared" si="8"/>
        <v>768</v>
      </c>
      <c r="H49">
        <f t="shared" si="18"/>
        <v>64</v>
      </c>
      <c r="I49">
        <v>3</v>
      </c>
      <c r="J49">
        <f t="shared" si="19"/>
        <v>12288</v>
      </c>
      <c r="K49">
        <f t="shared" si="10"/>
        <v>16</v>
      </c>
      <c r="L49" s="1">
        <f t="shared" si="11"/>
        <v>0</v>
      </c>
      <c r="M49" s="1">
        <f t="shared" si="9"/>
        <v>8.203125E-2</v>
      </c>
      <c r="N49">
        <f t="shared" si="7"/>
        <v>3</v>
      </c>
      <c r="O49">
        <v>256</v>
      </c>
      <c r="P49">
        <f t="shared" si="6"/>
        <v>0</v>
      </c>
      <c r="Q49">
        <f t="shared" si="5"/>
        <v>0</v>
      </c>
      <c r="S49">
        <f t="shared" si="3"/>
        <v>3328</v>
      </c>
    </row>
    <row r="50" spans="4:19">
      <c r="D50">
        <f t="shared" ref="D50" si="26">I50/13</f>
        <v>1</v>
      </c>
      <c r="E50" s="1">
        <f t="shared" si="20"/>
        <v>0</v>
      </c>
      <c r="F50">
        <f>$E$21/I50</f>
        <v>315</v>
      </c>
      <c r="G50">
        <f t="shared" si="8"/>
        <v>832</v>
      </c>
      <c r="H50">
        <f t="shared" si="18"/>
        <v>64</v>
      </c>
      <c r="I50">
        <v>13</v>
      </c>
      <c r="J50">
        <f t="shared" si="19"/>
        <v>53248</v>
      </c>
      <c r="K50">
        <f t="shared" si="10"/>
        <v>64</v>
      </c>
      <c r="L50" s="1">
        <f t="shared" si="11"/>
        <v>0</v>
      </c>
      <c r="M50" s="1">
        <f t="shared" si="9"/>
        <v>7.5721153846153841E-2</v>
      </c>
      <c r="N50">
        <f t="shared" si="7"/>
        <v>13</v>
      </c>
      <c r="O50">
        <v>64</v>
      </c>
      <c r="P50">
        <f t="shared" si="6"/>
        <v>0</v>
      </c>
      <c r="Q50">
        <f t="shared" si="5"/>
        <v>0</v>
      </c>
      <c r="S50">
        <f t="shared" si="3"/>
        <v>3264</v>
      </c>
    </row>
    <row r="51" spans="4:19">
      <c r="D51">
        <f t="shared" ref="D51" si="27">I51/7</f>
        <v>1</v>
      </c>
      <c r="E51" s="1">
        <f t="shared" si="20"/>
        <v>0</v>
      </c>
      <c r="F51">
        <f>$E$18/I51</f>
        <v>585</v>
      </c>
      <c r="G51">
        <f t="shared" si="8"/>
        <v>896</v>
      </c>
      <c r="H51">
        <f t="shared" si="18"/>
        <v>64</v>
      </c>
      <c r="I51">
        <v>7</v>
      </c>
      <c r="J51">
        <f t="shared" si="19"/>
        <v>28672</v>
      </c>
      <c r="K51">
        <f t="shared" si="10"/>
        <v>32</v>
      </c>
      <c r="L51" s="1">
        <f t="shared" si="11"/>
        <v>0</v>
      </c>
      <c r="M51" s="1">
        <f t="shared" si="9"/>
        <v>7.03125E-2</v>
      </c>
      <c r="N51">
        <f t="shared" si="7"/>
        <v>7</v>
      </c>
      <c r="O51">
        <v>128</v>
      </c>
      <c r="P51">
        <f t="shared" si="6"/>
        <v>0</v>
      </c>
      <c r="Q51">
        <f t="shared" si="5"/>
        <v>0</v>
      </c>
      <c r="S51">
        <f t="shared" si="3"/>
        <v>3200</v>
      </c>
    </row>
    <row r="52" spans="4:19">
      <c r="D52">
        <f t="shared" ref="D52" si="28">I52/15</f>
        <v>1</v>
      </c>
      <c r="E52" s="1">
        <f t="shared" si="20"/>
        <v>0</v>
      </c>
      <c r="F52">
        <f>$E$22/I52</f>
        <v>273</v>
      </c>
      <c r="G52">
        <f t="shared" si="8"/>
        <v>960</v>
      </c>
      <c r="H52">
        <f t="shared" si="18"/>
        <v>64</v>
      </c>
      <c r="I52">
        <v>15</v>
      </c>
      <c r="J52">
        <f t="shared" si="19"/>
        <v>61440</v>
      </c>
      <c r="K52">
        <f t="shared" si="10"/>
        <v>64</v>
      </c>
      <c r="L52" s="1">
        <f t="shared" si="11"/>
        <v>0</v>
      </c>
      <c r="M52" s="1">
        <f t="shared" si="9"/>
        <v>6.5625000000000003E-2</v>
      </c>
      <c r="N52">
        <f t="shared" si="7"/>
        <v>15</v>
      </c>
      <c r="O52">
        <v>64</v>
      </c>
      <c r="P52">
        <f t="shared" si="6"/>
        <v>0</v>
      </c>
      <c r="Q52">
        <f t="shared" si="5"/>
        <v>0</v>
      </c>
      <c r="S52">
        <f t="shared" si="3"/>
        <v>3136</v>
      </c>
    </row>
    <row r="53" spans="4:19">
      <c r="D53">
        <f t="shared" ref="D53" si="29">I53</f>
        <v>1</v>
      </c>
      <c r="E53" s="1">
        <f t="shared" si="20"/>
        <v>0</v>
      </c>
      <c r="F53">
        <f t="shared" ref="F53" si="30">$E$15/I53</f>
        <v>4093</v>
      </c>
      <c r="G53">
        <f t="shared" si="8"/>
        <v>1024</v>
      </c>
      <c r="H53">
        <f t="shared" si="18"/>
        <v>64</v>
      </c>
      <c r="I53">
        <v>1</v>
      </c>
      <c r="J53">
        <f t="shared" si="19"/>
        <v>4096</v>
      </c>
      <c r="K53">
        <f t="shared" si="10"/>
        <v>4</v>
      </c>
      <c r="L53" s="1">
        <f t="shared" si="11"/>
        <v>0</v>
      </c>
      <c r="M53" s="1">
        <f t="shared" si="9"/>
        <v>6.15234375E-2</v>
      </c>
      <c r="N53">
        <f t="shared" si="7"/>
        <v>1</v>
      </c>
      <c r="O53">
        <v>1024</v>
      </c>
      <c r="P53">
        <f t="shared" si="6"/>
        <v>0</v>
      </c>
      <c r="Q53">
        <f t="shared" si="5"/>
        <v>0</v>
      </c>
      <c r="S53">
        <f t="shared" si="3"/>
        <v>3072</v>
      </c>
    </row>
    <row r="54" spans="4:19">
      <c r="D54">
        <f t="shared" ref="D54" si="31">I54/9</f>
        <v>1</v>
      </c>
      <c r="E54" s="1">
        <f t="shared" si="20"/>
        <v>0</v>
      </c>
      <c r="F54">
        <f t="shared" ref="F54" si="32">$E$19/I54</f>
        <v>455</v>
      </c>
      <c r="G54">
        <f t="shared" si="8"/>
        <v>1152</v>
      </c>
      <c r="H54">
        <v>128</v>
      </c>
      <c r="I54">
        <v>9</v>
      </c>
      <c r="J54">
        <f t="shared" si="19"/>
        <v>36864</v>
      </c>
      <c r="K54">
        <f t="shared" si="10"/>
        <v>32</v>
      </c>
      <c r="L54" s="1">
        <f t="shared" si="11"/>
        <v>0</v>
      </c>
      <c r="M54" s="1">
        <f t="shared" si="9"/>
        <v>0.11024305555555555</v>
      </c>
      <c r="N54">
        <f t="shared" si="7"/>
        <v>9</v>
      </c>
      <c r="O54">
        <v>128</v>
      </c>
      <c r="P54">
        <f t="shared" si="6"/>
        <v>0</v>
      </c>
      <c r="Q54">
        <f t="shared" si="5"/>
        <v>0</v>
      </c>
      <c r="S54">
        <f t="shared" si="3"/>
        <v>2944</v>
      </c>
    </row>
    <row r="55" spans="4:19">
      <c r="D55">
        <f t="shared" ref="D55" si="33">I55/5</f>
        <v>1</v>
      </c>
      <c r="E55" s="1">
        <f t="shared" si="20"/>
        <v>0</v>
      </c>
      <c r="F55">
        <f t="shared" ref="F55" si="34">$E$17/I55</f>
        <v>819</v>
      </c>
      <c r="G55">
        <f t="shared" si="8"/>
        <v>1280</v>
      </c>
      <c r="H55">
        <f t="shared" si="18"/>
        <v>128</v>
      </c>
      <c r="I55">
        <v>5</v>
      </c>
      <c r="J55">
        <f t="shared" si="19"/>
        <v>20480</v>
      </c>
      <c r="K55">
        <f t="shared" si="10"/>
        <v>16</v>
      </c>
      <c r="L55" s="1">
        <f t="shared" si="11"/>
        <v>0</v>
      </c>
      <c r="M55" s="1">
        <f t="shared" si="9"/>
        <v>9.9218749999999994E-2</v>
      </c>
      <c r="N55">
        <f t="shared" si="7"/>
        <v>5</v>
      </c>
      <c r="O55">
        <v>256</v>
      </c>
      <c r="P55">
        <f t="shared" si="6"/>
        <v>0</v>
      </c>
      <c r="Q55">
        <f t="shared" si="5"/>
        <v>0</v>
      </c>
      <c r="S55">
        <f t="shared" si="3"/>
        <v>2816</v>
      </c>
    </row>
    <row r="56" spans="4:19">
      <c r="D56">
        <f t="shared" ref="D56" si="35">I56/11</f>
        <v>1</v>
      </c>
      <c r="E56" s="1">
        <f t="shared" si="20"/>
        <v>0</v>
      </c>
      <c r="F56">
        <f t="shared" ref="F56" si="36">$E$20/I56</f>
        <v>372</v>
      </c>
      <c r="G56">
        <f t="shared" si="8"/>
        <v>1408</v>
      </c>
      <c r="H56">
        <f t="shared" si="18"/>
        <v>128</v>
      </c>
      <c r="I56">
        <v>11</v>
      </c>
      <c r="J56">
        <f t="shared" si="19"/>
        <v>45056</v>
      </c>
      <c r="K56">
        <f t="shared" si="10"/>
        <v>32</v>
      </c>
      <c r="L56" s="1">
        <f t="shared" si="11"/>
        <v>0</v>
      </c>
      <c r="M56" s="1">
        <f t="shared" si="9"/>
        <v>9.0198863636363633E-2</v>
      </c>
      <c r="N56">
        <f t="shared" si="7"/>
        <v>11</v>
      </c>
      <c r="O56">
        <v>128</v>
      </c>
      <c r="P56">
        <f t="shared" si="6"/>
        <v>0</v>
      </c>
      <c r="Q56">
        <f t="shared" si="5"/>
        <v>0</v>
      </c>
      <c r="S56">
        <f t="shared" si="3"/>
        <v>2688</v>
      </c>
    </row>
    <row r="57" spans="4:19">
      <c r="D57">
        <f t="shared" ref="D57" si="37">I57/3</f>
        <v>1</v>
      </c>
      <c r="E57" s="1">
        <f t="shared" si="20"/>
        <v>0</v>
      </c>
      <c r="F57">
        <f t="shared" ref="F57" si="38">$E$16/I57</f>
        <v>1365</v>
      </c>
      <c r="G57">
        <f t="shared" si="8"/>
        <v>1536</v>
      </c>
      <c r="H57">
        <f t="shared" si="18"/>
        <v>128</v>
      </c>
      <c r="I57">
        <v>3</v>
      </c>
      <c r="J57">
        <f t="shared" si="19"/>
        <v>12288</v>
      </c>
      <c r="K57">
        <f t="shared" si="10"/>
        <v>8</v>
      </c>
      <c r="L57" s="1">
        <f t="shared" si="11"/>
        <v>0</v>
      </c>
      <c r="M57" s="1">
        <f t="shared" si="9"/>
        <v>8.2682291666666671E-2</v>
      </c>
      <c r="N57">
        <f t="shared" si="7"/>
        <v>3</v>
      </c>
      <c r="O57">
        <v>512</v>
      </c>
      <c r="P57">
        <f t="shared" si="6"/>
        <v>0</v>
      </c>
      <c r="Q57">
        <f t="shared" si="5"/>
        <v>0</v>
      </c>
      <c r="S57">
        <f t="shared" si="3"/>
        <v>2560</v>
      </c>
    </row>
    <row r="58" spans="4:19">
      <c r="D58">
        <f t="shared" ref="D58" si="39">I58/13</f>
        <v>1</v>
      </c>
      <c r="E58" s="1">
        <f t="shared" si="20"/>
        <v>0</v>
      </c>
      <c r="F58">
        <f t="shared" ref="F58" si="40">$E$21/I58</f>
        <v>315</v>
      </c>
      <c r="G58">
        <f t="shared" si="8"/>
        <v>1664</v>
      </c>
      <c r="H58">
        <f t="shared" si="18"/>
        <v>128</v>
      </c>
      <c r="I58">
        <v>13</v>
      </c>
      <c r="J58">
        <f t="shared" si="19"/>
        <v>53248</v>
      </c>
      <c r="K58">
        <f t="shared" si="10"/>
        <v>32</v>
      </c>
      <c r="L58" s="1">
        <f t="shared" si="11"/>
        <v>0</v>
      </c>
      <c r="M58" s="1">
        <f t="shared" si="9"/>
        <v>7.6322115384615391E-2</v>
      </c>
      <c r="N58">
        <f t="shared" si="7"/>
        <v>13</v>
      </c>
      <c r="O58">
        <v>128</v>
      </c>
      <c r="P58">
        <f t="shared" si="6"/>
        <v>0</v>
      </c>
      <c r="Q58">
        <f t="shared" si="5"/>
        <v>0</v>
      </c>
      <c r="S58">
        <f t="shared" si="3"/>
        <v>2432</v>
      </c>
    </row>
    <row r="59" spans="4:19">
      <c r="D59">
        <f t="shared" ref="D59" si="41">I59/7</f>
        <v>1</v>
      </c>
      <c r="E59" s="1">
        <f t="shared" si="20"/>
        <v>0</v>
      </c>
      <c r="F59">
        <f t="shared" ref="F59" si="42">$E$18/I59</f>
        <v>585</v>
      </c>
      <c r="G59">
        <f t="shared" si="8"/>
        <v>1792</v>
      </c>
      <c r="H59">
        <f t="shared" si="18"/>
        <v>128</v>
      </c>
      <c r="I59">
        <v>7</v>
      </c>
      <c r="J59">
        <f t="shared" si="19"/>
        <v>28672</v>
      </c>
      <c r="K59">
        <f t="shared" si="10"/>
        <v>16</v>
      </c>
      <c r="L59" s="1">
        <f t="shared" si="11"/>
        <v>0</v>
      </c>
      <c r="M59" s="1">
        <f t="shared" si="9"/>
        <v>7.0870535714285712E-2</v>
      </c>
      <c r="N59">
        <f t="shared" si="7"/>
        <v>7</v>
      </c>
      <c r="O59">
        <v>256</v>
      </c>
      <c r="P59">
        <f t="shared" si="6"/>
        <v>0</v>
      </c>
      <c r="Q59">
        <f t="shared" si="5"/>
        <v>0</v>
      </c>
      <c r="S59">
        <f t="shared" si="3"/>
        <v>2304</v>
      </c>
    </row>
    <row r="60" spans="4:19">
      <c r="D60">
        <f t="shared" ref="D60" si="43">I60/15</f>
        <v>1</v>
      </c>
      <c r="E60" s="1">
        <f t="shared" si="20"/>
        <v>0</v>
      </c>
      <c r="F60">
        <f t="shared" ref="F60" si="44">$E$22/I60</f>
        <v>273</v>
      </c>
      <c r="G60">
        <f t="shared" si="8"/>
        <v>1920</v>
      </c>
      <c r="H60">
        <f t="shared" si="18"/>
        <v>128</v>
      </c>
      <c r="I60">
        <v>15</v>
      </c>
      <c r="J60">
        <f t="shared" si="19"/>
        <v>61440</v>
      </c>
      <c r="K60">
        <f t="shared" si="10"/>
        <v>32</v>
      </c>
      <c r="L60" s="1">
        <f t="shared" si="11"/>
        <v>0</v>
      </c>
      <c r="M60" s="1">
        <f t="shared" si="9"/>
        <v>6.6145833333333334E-2</v>
      </c>
      <c r="N60">
        <f t="shared" si="7"/>
        <v>15</v>
      </c>
      <c r="O60">
        <v>128</v>
      </c>
      <c r="P60">
        <f t="shared" si="6"/>
        <v>0</v>
      </c>
      <c r="Q60">
        <f t="shared" si="5"/>
        <v>0</v>
      </c>
      <c r="S60">
        <f t="shared" si="3"/>
        <v>2176</v>
      </c>
    </row>
    <row r="61" spans="4:19">
      <c r="D61">
        <f t="shared" ref="D61" si="45">I61</f>
        <v>1</v>
      </c>
      <c r="E61" s="1">
        <f t="shared" si="20"/>
        <v>0</v>
      </c>
      <c r="F61">
        <f t="shared" ref="F61" si="46">$E$15/I61</f>
        <v>4093</v>
      </c>
      <c r="G61">
        <f t="shared" si="8"/>
        <v>2048</v>
      </c>
      <c r="H61">
        <f t="shared" si="18"/>
        <v>128</v>
      </c>
      <c r="I61">
        <v>1</v>
      </c>
      <c r="J61">
        <f t="shared" si="19"/>
        <v>4096</v>
      </c>
      <c r="K61">
        <f t="shared" si="10"/>
        <v>2</v>
      </c>
      <c r="L61" s="1">
        <f t="shared" si="11"/>
        <v>0</v>
      </c>
      <c r="M61" s="1">
        <f t="shared" si="9"/>
        <v>6.201171875E-2</v>
      </c>
      <c r="N61">
        <f t="shared" si="7"/>
        <v>1</v>
      </c>
      <c r="O61">
        <v>2048</v>
      </c>
      <c r="P61">
        <f t="shared" si="6"/>
        <v>0</v>
      </c>
      <c r="Q61">
        <f t="shared" si="5"/>
        <v>0</v>
      </c>
      <c r="S61">
        <f t="shared" si="3"/>
        <v>2048</v>
      </c>
    </row>
    <row r="62" spans="4:19">
      <c r="D62">
        <f t="shared" ref="D62" si="47">I62/9</f>
        <v>1</v>
      </c>
      <c r="E62" s="1">
        <f t="shared" si="20"/>
        <v>0</v>
      </c>
      <c r="F62">
        <f t="shared" ref="F62" si="48">$E$19/I62</f>
        <v>455</v>
      </c>
      <c r="G62">
        <f t="shared" si="8"/>
        <v>2304</v>
      </c>
      <c r="H62">
        <v>256</v>
      </c>
      <c r="I62">
        <v>9</v>
      </c>
      <c r="J62">
        <f t="shared" si="19"/>
        <v>36864</v>
      </c>
      <c r="K62">
        <f t="shared" si="10"/>
        <v>16</v>
      </c>
      <c r="L62" s="1">
        <f t="shared" si="11"/>
        <v>0</v>
      </c>
      <c r="M62" s="1">
        <f t="shared" si="9"/>
        <v>0.11067708333333333</v>
      </c>
      <c r="N62">
        <f t="shared" si="7"/>
        <v>9</v>
      </c>
      <c r="O62">
        <v>256</v>
      </c>
      <c r="P62">
        <f t="shared" si="6"/>
        <v>0</v>
      </c>
      <c r="Q62">
        <f t="shared" si="5"/>
        <v>0</v>
      </c>
      <c r="S62">
        <f t="shared" si="3"/>
        <v>1792</v>
      </c>
    </row>
    <row r="63" spans="4:19">
      <c r="D63">
        <f t="shared" ref="D63" si="49">I63/5</f>
        <v>1</v>
      </c>
      <c r="E63" s="1">
        <f t="shared" si="20"/>
        <v>0</v>
      </c>
      <c r="F63">
        <f t="shared" ref="F63" si="50">$E$17/I63</f>
        <v>819</v>
      </c>
      <c r="G63">
        <f t="shared" si="8"/>
        <v>2560</v>
      </c>
      <c r="H63">
        <f t="shared" si="18"/>
        <v>256</v>
      </c>
      <c r="I63">
        <v>5</v>
      </c>
      <c r="J63">
        <f t="shared" si="19"/>
        <v>20480</v>
      </c>
      <c r="K63">
        <f t="shared" si="10"/>
        <v>8</v>
      </c>
      <c r="L63" s="1">
        <f t="shared" si="11"/>
        <v>0</v>
      </c>
      <c r="M63" s="1">
        <f t="shared" si="9"/>
        <v>9.9609375E-2</v>
      </c>
      <c r="N63">
        <f t="shared" si="7"/>
        <v>5</v>
      </c>
      <c r="O63">
        <v>512</v>
      </c>
      <c r="P63">
        <f t="shared" si="6"/>
        <v>0</v>
      </c>
      <c r="Q63">
        <f t="shared" si="5"/>
        <v>0</v>
      </c>
      <c r="S63">
        <f t="shared" si="3"/>
        <v>1536</v>
      </c>
    </row>
    <row r="64" spans="4:19">
      <c r="D64">
        <f t="shared" ref="D64" si="51">I64/11</f>
        <v>1</v>
      </c>
      <c r="E64" s="1">
        <f t="shared" si="20"/>
        <v>0</v>
      </c>
      <c r="F64">
        <f t="shared" ref="F64" si="52">$E$20/I64</f>
        <v>372</v>
      </c>
      <c r="G64">
        <f t="shared" si="8"/>
        <v>2816</v>
      </c>
      <c r="H64">
        <f t="shared" si="18"/>
        <v>256</v>
      </c>
      <c r="I64">
        <v>11</v>
      </c>
      <c r="J64">
        <f t="shared" si="19"/>
        <v>45056</v>
      </c>
      <c r="K64">
        <f t="shared" si="10"/>
        <v>16</v>
      </c>
      <c r="L64" s="1">
        <f t="shared" si="11"/>
        <v>0</v>
      </c>
      <c r="M64" s="1">
        <f t="shared" si="9"/>
        <v>9.0553977272727279E-2</v>
      </c>
      <c r="N64">
        <f t="shared" si="7"/>
        <v>11</v>
      </c>
      <c r="O64">
        <v>256</v>
      </c>
      <c r="P64">
        <f t="shared" si="6"/>
        <v>0</v>
      </c>
      <c r="Q64">
        <f t="shared" si="5"/>
        <v>0</v>
      </c>
      <c r="S64">
        <f t="shared" si="3"/>
        <v>1280</v>
      </c>
    </row>
    <row r="65" spans="4:19">
      <c r="D65">
        <f t="shared" ref="D65" si="53">I65/3</f>
        <v>1</v>
      </c>
      <c r="E65" s="1">
        <f t="shared" si="20"/>
        <v>0</v>
      </c>
      <c r="F65">
        <f t="shared" ref="F65" si="54">$E$16/I65</f>
        <v>1365</v>
      </c>
      <c r="G65">
        <f t="shared" si="8"/>
        <v>3072</v>
      </c>
      <c r="H65">
        <f t="shared" si="18"/>
        <v>256</v>
      </c>
      <c r="I65">
        <v>3</v>
      </c>
      <c r="J65">
        <f t="shared" si="19"/>
        <v>12288</v>
      </c>
      <c r="K65">
        <f t="shared" si="10"/>
        <v>4</v>
      </c>
      <c r="L65" s="1">
        <f t="shared" si="11"/>
        <v>0</v>
      </c>
      <c r="M65" s="1">
        <f t="shared" si="9"/>
        <v>8.30078125E-2</v>
      </c>
      <c r="N65">
        <f t="shared" si="7"/>
        <v>3</v>
      </c>
      <c r="O65">
        <v>1024</v>
      </c>
      <c r="P65">
        <f t="shared" si="6"/>
        <v>0</v>
      </c>
      <c r="Q65">
        <f t="shared" si="5"/>
        <v>0</v>
      </c>
      <c r="S65">
        <f t="shared" si="3"/>
        <v>1024</v>
      </c>
    </row>
    <row r="66" spans="4:19">
      <c r="D66">
        <f t="shared" ref="D66" si="55">I66/13</f>
        <v>1</v>
      </c>
      <c r="E66" s="1">
        <f t="shared" si="20"/>
        <v>0</v>
      </c>
      <c r="F66">
        <f t="shared" ref="F66" si="56">$E$21/I66</f>
        <v>315</v>
      </c>
      <c r="G66">
        <f t="shared" si="8"/>
        <v>3328</v>
      </c>
      <c r="H66">
        <f t="shared" si="18"/>
        <v>256</v>
      </c>
      <c r="I66">
        <v>13</v>
      </c>
      <c r="J66">
        <f t="shared" si="19"/>
        <v>53248</v>
      </c>
      <c r="K66">
        <f t="shared" si="10"/>
        <v>16</v>
      </c>
      <c r="L66" s="1">
        <f t="shared" si="11"/>
        <v>0</v>
      </c>
      <c r="M66" s="1">
        <f t="shared" si="9"/>
        <v>7.6622596153846159E-2</v>
      </c>
      <c r="N66">
        <f t="shared" si="7"/>
        <v>13</v>
      </c>
      <c r="O66">
        <v>256</v>
      </c>
      <c r="P66">
        <f t="shared" si="6"/>
        <v>0</v>
      </c>
      <c r="Q66">
        <f t="shared" si="5"/>
        <v>0</v>
      </c>
      <c r="S66">
        <f t="shared" si="3"/>
        <v>768</v>
      </c>
    </row>
    <row r="67" spans="4:19">
      <c r="D67">
        <f t="shared" ref="D67" si="57">I67/7</f>
        <v>1</v>
      </c>
      <c r="E67" s="1">
        <f t="shared" si="20"/>
        <v>0</v>
      </c>
      <c r="F67">
        <f t="shared" ref="F67" si="58">$E$18/I67</f>
        <v>585</v>
      </c>
      <c r="G67">
        <f t="shared" si="8"/>
        <v>3584</v>
      </c>
      <c r="H67">
        <f t="shared" si="18"/>
        <v>256</v>
      </c>
      <c r="I67">
        <v>7</v>
      </c>
      <c r="J67">
        <f t="shared" si="19"/>
        <v>28672</v>
      </c>
      <c r="K67">
        <f t="shared" si="10"/>
        <v>8</v>
      </c>
      <c r="L67" s="1">
        <f t="shared" si="11"/>
        <v>0</v>
      </c>
      <c r="M67" s="1">
        <f t="shared" si="9"/>
        <v>7.1149553571428575E-2</v>
      </c>
      <c r="N67">
        <f t="shared" si="7"/>
        <v>7</v>
      </c>
      <c r="O67">
        <v>512</v>
      </c>
      <c r="P67">
        <f t="shared" ref="P67:P98" si="59">J67-G67*K67</f>
        <v>0</v>
      </c>
      <c r="Q67">
        <f t="shared" si="5"/>
        <v>0</v>
      </c>
      <c r="S67">
        <f t="shared" si="3"/>
        <v>512</v>
      </c>
    </row>
    <row r="68" spans="4:19">
      <c r="D68">
        <f t="shared" ref="D68" si="60">I68/15</f>
        <v>1</v>
      </c>
      <c r="E68" s="1">
        <f t="shared" si="20"/>
        <v>0</v>
      </c>
      <c r="F68">
        <f t="shared" ref="F68" si="61">$E$22/I68</f>
        <v>273</v>
      </c>
      <c r="G68">
        <f t="shared" si="8"/>
        <v>3840</v>
      </c>
      <c r="H68">
        <f t="shared" si="18"/>
        <v>256</v>
      </c>
      <c r="I68">
        <v>15</v>
      </c>
      <c r="J68">
        <f t="shared" si="19"/>
        <v>61440</v>
      </c>
      <c r="K68">
        <f t="shared" si="10"/>
        <v>16</v>
      </c>
      <c r="L68" s="1">
        <f t="shared" si="11"/>
        <v>0</v>
      </c>
      <c r="M68" s="1">
        <f t="shared" si="9"/>
        <v>6.640625E-2</v>
      </c>
      <c r="N68">
        <f t="shared" si="7"/>
        <v>15</v>
      </c>
      <c r="O68">
        <v>256</v>
      </c>
      <c r="P68">
        <f t="shared" si="59"/>
        <v>0</v>
      </c>
      <c r="Q68">
        <f t="shared" si="5"/>
        <v>0</v>
      </c>
      <c r="S68">
        <f t="shared" ref="S68:S70" si="62">FLOOR((G68 + 4095)/4096, 1)*4096 - G68</f>
        <v>256</v>
      </c>
    </row>
    <row r="69" spans="4:19">
      <c r="D69">
        <f t="shared" ref="D69" si="63">I69</f>
        <v>1</v>
      </c>
      <c r="E69" s="1">
        <f t="shared" si="20"/>
        <v>0</v>
      </c>
      <c r="F69">
        <f t="shared" ref="F69" si="64">$E$15/I69</f>
        <v>4093</v>
      </c>
      <c r="G69">
        <f t="shared" si="8"/>
        <v>4096</v>
      </c>
      <c r="H69">
        <f t="shared" si="18"/>
        <v>256</v>
      </c>
      <c r="I69">
        <v>1</v>
      </c>
      <c r="J69">
        <f t="shared" si="19"/>
        <v>4096</v>
      </c>
      <c r="K69">
        <f t="shared" si="10"/>
        <v>1</v>
      </c>
      <c r="L69" s="1">
        <f t="shared" si="11"/>
        <v>0</v>
      </c>
      <c r="M69" s="1">
        <f t="shared" si="9"/>
        <v>6.2255859375E-2</v>
      </c>
      <c r="N69">
        <f t="shared" si="7"/>
        <v>1</v>
      </c>
      <c r="O69">
        <v>4096</v>
      </c>
      <c r="P69">
        <f t="shared" si="59"/>
        <v>0</v>
      </c>
      <c r="Q69">
        <f t="shared" ref="Q69:Q92" si="65">P69/I69</f>
        <v>0</v>
      </c>
      <c r="S69">
        <f t="shared" si="62"/>
        <v>0</v>
      </c>
    </row>
    <row r="70" spans="4:19">
      <c r="D70">
        <f t="shared" ref="D70" si="66">I70/9</f>
        <v>1</v>
      </c>
      <c r="E70" s="1">
        <f t="shared" si="20"/>
        <v>0</v>
      </c>
      <c r="F70">
        <f t="shared" ref="F70" si="67">$E$19/I70</f>
        <v>455</v>
      </c>
      <c r="G70">
        <f t="shared" si="8"/>
        <v>4608</v>
      </c>
      <c r="H70">
        <v>512</v>
      </c>
      <c r="I70">
        <v>9</v>
      </c>
      <c r="J70">
        <f t="shared" si="19"/>
        <v>36864</v>
      </c>
      <c r="K70">
        <f t="shared" si="10"/>
        <v>8</v>
      </c>
      <c r="L70" s="1">
        <f t="shared" si="11"/>
        <v>0</v>
      </c>
      <c r="M70" s="1">
        <f t="shared" si="9"/>
        <v>0.11089409722222222</v>
      </c>
      <c r="N70">
        <f t="shared" si="7"/>
        <v>9</v>
      </c>
      <c r="O70">
        <v>512</v>
      </c>
      <c r="P70">
        <f t="shared" si="59"/>
        <v>0</v>
      </c>
      <c r="Q70">
        <f t="shared" si="65"/>
        <v>0</v>
      </c>
      <c r="S70">
        <f t="shared" si="62"/>
        <v>3584</v>
      </c>
    </row>
    <row r="71" spans="4:19">
      <c r="D71">
        <f t="shared" ref="D71" si="68">I71/5</f>
        <v>1</v>
      </c>
      <c r="E71" s="1">
        <f t="shared" si="20"/>
        <v>0</v>
      </c>
      <c r="F71">
        <f t="shared" ref="F71" si="69">$E$17/I71</f>
        <v>819</v>
      </c>
      <c r="G71">
        <f t="shared" si="8"/>
        <v>5120</v>
      </c>
      <c r="H71">
        <f t="shared" si="18"/>
        <v>512</v>
      </c>
      <c r="I71">
        <v>5</v>
      </c>
      <c r="J71">
        <f t="shared" si="19"/>
        <v>20480</v>
      </c>
      <c r="K71">
        <f t="shared" si="10"/>
        <v>4</v>
      </c>
      <c r="L71" s="1">
        <f t="shared" si="11"/>
        <v>0</v>
      </c>
      <c r="M71" s="1">
        <f t="shared" si="9"/>
        <v>9.9804687500000003E-2</v>
      </c>
      <c r="N71">
        <f t="shared" ref="N71:N93" si="70">J71/4096</f>
        <v>5</v>
      </c>
      <c r="O71">
        <v>1024</v>
      </c>
      <c r="P71">
        <f t="shared" si="59"/>
        <v>0</v>
      </c>
      <c r="Q71">
        <f t="shared" si="65"/>
        <v>0</v>
      </c>
      <c r="S71">
        <f>FLOOR((G71 + 4095)/4096, 1)*4096 - G71</f>
        <v>3072</v>
      </c>
    </row>
    <row r="72" spans="4:19">
      <c r="D72">
        <f t="shared" ref="D72" si="71">I72/11</f>
        <v>1</v>
      </c>
      <c r="E72" s="1">
        <f t="shared" si="20"/>
        <v>0</v>
      </c>
      <c r="F72">
        <f t="shared" ref="F72" si="72">$E$20/I72</f>
        <v>372</v>
      </c>
      <c r="G72">
        <f t="shared" ref="G72:G93" si="73">G71+H72</f>
        <v>5632</v>
      </c>
      <c r="H72">
        <f t="shared" si="18"/>
        <v>512</v>
      </c>
      <c r="I72">
        <v>11</v>
      </c>
      <c r="J72">
        <f t="shared" si="19"/>
        <v>45056</v>
      </c>
      <c r="K72">
        <f t="shared" si="10"/>
        <v>8</v>
      </c>
      <c r="L72" s="1">
        <f t="shared" si="11"/>
        <v>0</v>
      </c>
      <c r="M72" s="1">
        <f t="shared" ref="M72:M93" si="74">(G72-(G71+1))/(G72)</f>
        <v>9.0731534090909088E-2</v>
      </c>
      <c r="N72">
        <f t="shared" si="70"/>
        <v>11</v>
      </c>
      <c r="O72">
        <v>512</v>
      </c>
      <c r="P72">
        <f t="shared" si="59"/>
        <v>0</v>
      </c>
      <c r="Q72">
        <f t="shared" si="65"/>
        <v>0</v>
      </c>
      <c r="S72">
        <f t="shared" ref="S72:S124" si="75">FLOOR((G72 + 4095)/4096, 1)*4096 - G72</f>
        <v>2560</v>
      </c>
    </row>
    <row r="73" spans="4:19">
      <c r="D73">
        <f t="shared" ref="D73" si="76">I73/3</f>
        <v>1</v>
      </c>
      <c r="E73" s="1">
        <f t="shared" si="20"/>
        <v>0</v>
      </c>
      <c r="F73">
        <f t="shared" ref="F73" si="77">$E$16/I73</f>
        <v>1365</v>
      </c>
      <c r="G73">
        <f t="shared" si="73"/>
        <v>6144</v>
      </c>
      <c r="H73">
        <f t="shared" si="18"/>
        <v>512</v>
      </c>
      <c r="I73">
        <v>3</v>
      </c>
      <c r="J73">
        <f t="shared" si="19"/>
        <v>12288</v>
      </c>
      <c r="K73">
        <f t="shared" ref="K73:K93" si="78">FLOOR(J73/G73,1)</f>
        <v>2</v>
      </c>
      <c r="L73" s="1">
        <f t="shared" ref="L73:L93" si="79">(J73-K73*G73)/J73</f>
        <v>0</v>
      </c>
      <c r="M73" s="1">
        <f t="shared" si="74"/>
        <v>8.3170572916666671E-2</v>
      </c>
      <c r="N73">
        <f t="shared" si="70"/>
        <v>3</v>
      </c>
      <c r="O73">
        <v>2048</v>
      </c>
      <c r="P73">
        <f t="shared" si="59"/>
        <v>0</v>
      </c>
      <c r="Q73">
        <f t="shared" si="65"/>
        <v>0</v>
      </c>
      <c r="S73">
        <f t="shared" si="75"/>
        <v>2048</v>
      </c>
    </row>
    <row r="74" spans="4:19">
      <c r="D74">
        <f t="shared" ref="D74" si="80">I74/13</f>
        <v>1</v>
      </c>
      <c r="E74" s="1">
        <f t="shared" si="20"/>
        <v>0</v>
      </c>
      <c r="F74">
        <f t="shared" ref="F74" si="81">$E$21/I74</f>
        <v>315</v>
      </c>
      <c r="G74">
        <f t="shared" si="73"/>
        <v>6656</v>
      </c>
      <c r="H74">
        <f t="shared" si="18"/>
        <v>512</v>
      </c>
      <c r="I74">
        <v>13</v>
      </c>
      <c r="J74">
        <f t="shared" si="19"/>
        <v>53248</v>
      </c>
      <c r="K74">
        <f t="shared" si="78"/>
        <v>8</v>
      </c>
      <c r="L74" s="1">
        <f t="shared" si="79"/>
        <v>0</v>
      </c>
      <c r="M74" s="1">
        <f t="shared" si="74"/>
        <v>7.6772836538461536E-2</v>
      </c>
      <c r="N74">
        <f t="shared" si="70"/>
        <v>13</v>
      </c>
      <c r="O74">
        <v>512</v>
      </c>
      <c r="P74">
        <f t="shared" si="59"/>
        <v>0</v>
      </c>
      <c r="Q74">
        <f t="shared" si="65"/>
        <v>0</v>
      </c>
      <c r="S74">
        <f t="shared" si="75"/>
        <v>1536</v>
      </c>
    </row>
    <row r="75" spans="4:19">
      <c r="D75">
        <f t="shared" ref="D75" si="82">I75/7</f>
        <v>1</v>
      </c>
      <c r="E75" s="1">
        <f t="shared" si="20"/>
        <v>0</v>
      </c>
      <c r="F75">
        <f t="shared" ref="F75" si="83">$E$18/I75</f>
        <v>585</v>
      </c>
      <c r="G75">
        <f t="shared" si="73"/>
        <v>7168</v>
      </c>
      <c r="H75">
        <f t="shared" si="18"/>
        <v>512</v>
      </c>
      <c r="I75">
        <v>7</v>
      </c>
      <c r="J75">
        <f t="shared" si="19"/>
        <v>28672</v>
      </c>
      <c r="K75">
        <f t="shared" si="78"/>
        <v>4</v>
      </c>
      <c r="L75" s="1">
        <f t="shared" si="79"/>
        <v>0</v>
      </c>
      <c r="M75" s="1">
        <f t="shared" si="74"/>
        <v>7.12890625E-2</v>
      </c>
      <c r="N75">
        <f t="shared" si="70"/>
        <v>7</v>
      </c>
      <c r="O75">
        <v>1024</v>
      </c>
      <c r="P75">
        <f t="shared" si="59"/>
        <v>0</v>
      </c>
      <c r="Q75">
        <f t="shared" si="65"/>
        <v>0</v>
      </c>
      <c r="S75">
        <f t="shared" si="75"/>
        <v>1024</v>
      </c>
    </row>
    <row r="76" spans="4:19">
      <c r="D76">
        <f t="shared" ref="D76" si="84">I76/15</f>
        <v>1</v>
      </c>
      <c r="E76" s="1">
        <f t="shared" si="20"/>
        <v>0</v>
      </c>
      <c r="F76">
        <f t="shared" ref="F76" si="85">$E$22/I76</f>
        <v>273</v>
      </c>
      <c r="G76">
        <f t="shared" si="73"/>
        <v>7680</v>
      </c>
      <c r="H76">
        <f t="shared" si="18"/>
        <v>512</v>
      </c>
      <c r="I76">
        <v>15</v>
      </c>
      <c r="J76">
        <f t="shared" si="19"/>
        <v>61440</v>
      </c>
      <c r="K76">
        <f t="shared" si="78"/>
        <v>8</v>
      </c>
      <c r="L76" s="1">
        <f t="shared" si="79"/>
        <v>0</v>
      </c>
      <c r="M76" s="1">
        <f t="shared" si="74"/>
        <v>6.653645833333334E-2</v>
      </c>
      <c r="N76">
        <f t="shared" si="70"/>
        <v>15</v>
      </c>
      <c r="O76">
        <v>512</v>
      </c>
      <c r="P76">
        <f t="shared" si="59"/>
        <v>0</v>
      </c>
      <c r="Q76">
        <f t="shared" si="65"/>
        <v>0</v>
      </c>
      <c r="S76">
        <f t="shared" si="75"/>
        <v>512</v>
      </c>
    </row>
    <row r="77" spans="4:19">
      <c r="D77">
        <f t="shared" ref="D77" si="86">I77</f>
        <v>2</v>
      </c>
      <c r="E77" s="1">
        <f t="shared" si="20"/>
        <v>2.4431956999755681E-4</v>
      </c>
      <c r="F77">
        <f t="shared" ref="F77" si="87">$E$15/I77</f>
        <v>2046.5</v>
      </c>
      <c r="G77">
        <f t="shared" si="73"/>
        <v>8192</v>
      </c>
      <c r="H77">
        <f t="shared" si="18"/>
        <v>512</v>
      </c>
      <c r="I77">
        <v>2</v>
      </c>
      <c r="J77">
        <f t="shared" si="19"/>
        <v>8192</v>
      </c>
      <c r="K77">
        <f t="shared" si="78"/>
        <v>1</v>
      </c>
      <c r="L77" s="1">
        <f t="shared" si="79"/>
        <v>0</v>
      </c>
      <c r="M77" s="1">
        <f t="shared" si="74"/>
        <v>6.23779296875E-2</v>
      </c>
      <c r="N77">
        <f t="shared" si="70"/>
        <v>2</v>
      </c>
      <c r="O77">
        <v>8192</v>
      </c>
      <c r="P77">
        <f t="shared" si="59"/>
        <v>0</v>
      </c>
      <c r="Q77">
        <f t="shared" si="65"/>
        <v>0</v>
      </c>
      <c r="S77">
        <f t="shared" si="75"/>
        <v>0</v>
      </c>
    </row>
    <row r="78" spans="4:19">
      <c r="D78">
        <f t="shared" ref="D78" si="88">I78/9</f>
        <v>1</v>
      </c>
      <c r="E78" s="1">
        <f t="shared" si="20"/>
        <v>0</v>
      </c>
      <c r="F78">
        <f t="shared" ref="F78" si="89">$E$19/I78</f>
        <v>455</v>
      </c>
      <c r="G78">
        <f t="shared" si="73"/>
        <v>9216</v>
      </c>
      <c r="H78">
        <v>1024</v>
      </c>
      <c r="I78">
        <v>9</v>
      </c>
      <c r="J78">
        <f t="shared" si="19"/>
        <v>36864</v>
      </c>
      <c r="K78">
        <f t="shared" si="78"/>
        <v>4</v>
      </c>
      <c r="L78" s="1">
        <f t="shared" si="79"/>
        <v>0</v>
      </c>
      <c r="M78" s="1">
        <f t="shared" si="74"/>
        <v>0.11100260416666667</v>
      </c>
      <c r="N78">
        <f t="shared" si="70"/>
        <v>9</v>
      </c>
      <c r="O78">
        <v>1024</v>
      </c>
      <c r="P78">
        <f t="shared" si="59"/>
        <v>0</v>
      </c>
      <c r="Q78">
        <f t="shared" si="65"/>
        <v>0</v>
      </c>
      <c r="S78">
        <f t="shared" si="75"/>
        <v>3072</v>
      </c>
    </row>
    <row r="79" spans="4:19">
      <c r="D79">
        <f t="shared" ref="D79" si="90">I79/5</f>
        <v>1</v>
      </c>
      <c r="E79" s="1">
        <f t="shared" si="20"/>
        <v>0</v>
      </c>
      <c r="F79">
        <f t="shared" ref="F79" si="91">$E$17/I79</f>
        <v>819</v>
      </c>
      <c r="G79">
        <f t="shared" si="73"/>
        <v>10240</v>
      </c>
      <c r="H79">
        <f t="shared" si="18"/>
        <v>1024</v>
      </c>
      <c r="I79">
        <v>5</v>
      </c>
      <c r="J79">
        <f t="shared" si="19"/>
        <v>20480</v>
      </c>
      <c r="K79">
        <f t="shared" si="78"/>
        <v>2</v>
      </c>
      <c r="L79" s="1">
        <f t="shared" si="79"/>
        <v>0</v>
      </c>
      <c r="M79" s="1">
        <f t="shared" si="74"/>
        <v>9.9902343749999997E-2</v>
      </c>
      <c r="N79">
        <f t="shared" si="70"/>
        <v>5</v>
      </c>
      <c r="O79">
        <v>2048</v>
      </c>
      <c r="P79">
        <f t="shared" si="59"/>
        <v>0</v>
      </c>
      <c r="Q79">
        <f t="shared" si="65"/>
        <v>0</v>
      </c>
      <c r="S79">
        <f t="shared" si="75"/>
        <v>2048</v>
      </c>
    </row>
    <row r="80" spans="4:19">
      <c r="D80">
        <f t="shared" ref="D80" si="92">I80/11</f>
        <v>1</v>
      </c>
      <c r="E80" s="1">
        <f t="shared" si="20"/>
        <v>0</v>
      </c>
      <c r="F80">
        <f t="shared" ref="F80" si="93">$E$20/I80</f>
        <v>372</v>
      </c>
      <c r="G80">
        <f t="shared" si="73"/>
        <v>11264</v>
      </c>
      <c r="H80">
        <f t="shared" si="18"/>
        <v>1024</v>
      </c>
      <c r="I80">
        <v>11</v>
      </c>
      <c r="J80">
        <f t="shared" si="19"/>
        <v>45056</v>
      </c>
      <c r="K80">
        <f t="shared" si="78"/>
        <v>4</v>
      </c>
      <c r="L80" s="1">
        <f t="shared" si="79"/>
        <v>0</v>
      </c>
      <c r="M80" s="1">
        <f t="shared" si="74"/>
        <v>9.08203125E-2</v>
      </c>
      <c r="N80">
        <f t="shared" si="70"/>
        <v>11</v>
      </c>
      <c r="O80">
        <v>1024</v>
      </c>
      <c r="P80">
        <f t="shared" si="59"/>
        <v>0</v>
      </c>
      <c r="Q80">
        <f t="shared" si="65"/>
        <v>0</v>
      </c>
      <c r="S80">
        <f t="shared" si="75"/>
        <v>1024</v>
      </c>
    </row>
    <row r="81" spans="4:19">
      <c r="D81">
        <f t="shared" ref="D81" si="94">I81/3</f>
        <v>1</v>
      </c>
      <c r="E81" s="1">
        <f t="shared" si="20"/>
        <v>0</v>
      </c>
      <c r="F81">
        <f t="shared" ref="F81" si="95">$E$16/I81</f>
        <v>1365</v>
      </c>
      <c r="G81">
        <f t="shared" si="73"/>
        <v>12288</v>
      </c>
      <c r="H81">
        <f t="shared" si="18"/>
        <v>1024</v>
      </c>
      <c r="I81">
        <v>3</v>
      </c>
      <c r="J81">
        <f t="shared" si="19"/>
        <v>12288</v>
      </c>
      <c r="K81">
        <f t="shared" si="78"/>
        <v>1</v>
      </c>
      <c r="L81" s="1">
        <f t="shared" si="79"/>
        <v>0</v>
      </c>
      <c r="M81" s="1">
        <f t="shared" si="74"/>
        <v>8.3251953125E-2</v>
      </c>
      <c r="N81">
        <f t="shared" si="70"/>
        <v>3</v>
      </c>
      <c r="O81">
        <v>4096</v>
      </c>
      <c r="P81">
        <f t="shared" si="59"/>
        <v>0</v>
      </c>
      <c r="Q81">
        <f t="shared" si="65"/>
        <v>0</v>
      </c>
      <c r="S81">
        <f t="shared" si="75"/>
        <v>0</v>
      </c>
    </row>
    <row r="82" spans="4:19">
      <c r="D82">
        <f t="shared" ref="D82" si="96">I82/13</f>
        <v>1</v>
      </c>
      <c r="E82" s="1">
        <f t="shared" si="20"/>
        <v>0</v>
      </c>
      <c r="F82">
        <f t="shared" ref="F82" si="97">$E$21/I82</f>
        <v>315</v>
      </c>
      <c r="G82">
        <f t="shared" si="73"/>
        <v>13312</v>
      </c>
      <c r="H82">
        <f t="shared" si="18"/>
        <v>1024</v>
      </c>
      <c r="I82">
        <v>13</v>
      </c>
      <c r="J82">
        <f t="shared" si="19"/>
        <v>53248</v>
      </c>
      <c r="K82">
        <f t="shared" si="78"/>
        <v>4</v>
      </c>
      <c r="L82" s="1">
        <f t="shared" si="79"/>
        <v>0</v>
      </c>
      <c r="M82" s="1">
        <f t="shared" si="74"/>
        <v>7.6847956730769232E-2</v>
      </c>
      <c r="N82">
        <f t="shared" si="70"/>
        <v>13</v>
      </c>
      <c r="O82">
        <v>1024</v>
      </c>
      <c r="P82">
        <f t="shared" si="59"/>
        <v>0</v>
      </c>
      <c r="Q82">
        <f t="shared" si="65"/>
        <v>0</v>
      </c>
      <c r="S82">
        <f t="shared" si="75"/>
        <v>3072</v>
      </c>
    </row>
    <row r="83" spans="4:19">
      <c r="D83">
        <f t="shared" ref="D83" si="98">I83/7</f>
        <v>1</v>
      </c>
      <c r="E83" s="1">
        <f t="shared" si="20"/>
        <v>0</v>
      </c>
      <c r="F83">
        <f t="shared" ref="F83" si="99">$E$18/I83</f>
        <v>585</v>
      </c>
      <c r="G83">
        <f t="shared" si="73"/>
        <v>14336</v>
      </c>
      <c r="H83">
        <f t="shared" si="18"/>
        <v>1024</v>
      </c>
      <c r="I83">
        <v>7</v>
      </c>
      <c r="J83">
        <f t="shared" si="19"/>
        <v>28672</v>
      </c>
      <c r="K83">
        <f t="shared" si="78"/>
        <v>2</v>
      </c>
      <c r="L83" s="1">
        <f t="shared" si="79"/>
        <v>0</v>
      </c>
      <c r="M83" s="1">
        <f t="shared" si="74"/>
        <v>7.1358816964285712E-2</v>
      </c>
      <c r="N83">
        <f t="shared" si="70"/>
        <v>7</v>
      </c>
      <c r="O83">
        <v>2048</v>
      </c>
      <c r="P83">
        <f t="shared" si="59"/>
        <v>0</v>
      </c>
      <c r="Q83">
        <f t="shared" si="65"/>
        <v>0</v>
      </c>
      <c r="S83">
        <f t="shared" si="75"/>
        <v>2048</v>
      </c>
    </row>
    <row r="84" spans="4:19">
      <c r="D84">
        <f t="shared" ref="D84" si="100">I84/15</f>
        <v>1</v>
      </c>
      <c r="E84" s="1">
        <f t="shared" si="20"/>
        <v>0</v>
      </c>
      <c r="F84">
        <f t="shared" ref="F84" si="101">$E$22/I84</f>
        <v>273</v>
      </c>
      <c r="G84">
        <f t="shared" si="73"/>
        <v>15360</v>
      </c>
      <c r="H84">
        <f t="shared" si="18"/>
        <v>1024</v>
      </c>
      <c r="I84">
        <v>15</v>
      </c>
      <c r="J84">
        <f t="shared" si="19"/>
        <v>61440</v>
      </c>
      <c r="K84">
        <f t="shared" si="78"/>
        <v>4</v>
      </c>
      <c r="L84" s="1">
        <f t="shared" si="79"/>
        <v>0</v>
      </c>
      <c r="M84" s="1">
        <f t="shared" si="74"/>
        <v>6.6601562500000003E-2</v>
      </c>
      <c r="N84">
        <f t="shared" si="70"/>
        <v>15</v>
      </c>
      <c r="O84">
        <v>1024</v>
      </c>
      <c r="P84">
        <f t="shared" si="59"/>
        <v>0</v>
      </c>
      <c r="Q84">
        <f t="shared" si="65"/>
        <v>0</v>
      </c>
      <c r="S84">
        <f t="shared" si="75"/>
        <v>1024</v>
      </c>
    </row>
    <row r="85" spans="4:19">
      <c r="D85">
        <f t="shared" ref="D85" si="102">I85</f>
        <v>4</v>
      </c>
      <c r="E85" s="1">
        <f t="shared" si="20"/>
        <v>2.4431956999755681E-4</v>
      </c>
      <c r="F85">
        <f t="shared" ref="F85" si="103">$E$15/I85</f>
        <v>1023.25</v>
      </c>
      <c r="G85">
        <f t="shared" si="73"/>
        <v>16384</v>
      </c>
      <c r="H85">
        <f t="shared" si="18"/>
        <v>1024</v>
      </c>
      <c r="I85">
        <v>4</v>
      </c>
      <c r="J85">
        <f t="shared" si="19"/>
        <v>16384</v>
      </c>
      <c r="K85">
        <f t="shared" si="78"/>
        <v>1</v>
      </c>
      <c r="L85" s="1">
        <f t="shared" si="79"/>
        <v>0</v>
      </c>
      <c r="M85" s="1">
        <f t="shared" si="74"/>
        <v>6.243896484375E-2</v>
      </c>
      <c r="N85">
        <f t="shared" si="70"/>
        <v>4</v>
      </c>
      <c r="O85">
        <v>16384</v>
      </c>
      <c r="P85">
        <f t="shared" si="59"/>
        <v>0</v>
      </c>
      <c r="Q85">
        <f t="shared" si="65"/>
        <v>0</v>
      </c>
      <c r="S85">
        <f t="shared" si="75"/>
        <v>0</v>
      </c>
    </row>
    <row r="86" spans="4:19">
      <c r="D86">
        <f t="shared" ref="D86" si="104">I86/9</f>
        <v>1</v>
      </c>
      <c r="E86" s="1">
        <f t="shared" si="20"/>
        <v>0</v>
      </c>
      <c r="F86">
        <f t="shared" ref="F86" si="105">$E$19/I86</f>
        <v>455</v>
      </c>
      <c r="G86">
        <f t="shared" si="73"/>
        <v>18432</v>
      </c>
      <c r="H86">
        <v>2048</v>
      </c>
      <c r="I86">
        <v>9</v>
      </c>
      <c r="J86">
        <f t="shared" si="19"/>
        <v>36864</v>
      </c>
      <c r="K86">
        <f t="shared" si="78"/>
        <v>2</v>
      </c>
      <c r="L86" s="1">
        <f t="shared" si="79"/>
        <v>0</v>
      </c>
      <c r="M86" s="1">
        <f t="shared" si="74"/>
        <v>0.1110568576388889</v>
      </c>
      <c r="N86">
        <f t="shared" si="70"/>
        <v>9</v>
      </c>
      <c r="O86">
        <v>2048</v>
      </c>
      <c r="P86">
        <f t="shared" si="59"/>
        <v>0</v>
      </c>
      <c r="Q86">
        <f t="shared" si="65"/>
        <v>0</v>
      </c>
      <c r="S86">
        <f t="shared" si="75"/>
        <v>2048</v>
      </c>
    </row>
    <row r="87" spans="4:19">
      <c r="D87">
        <f t="shared" ref="D87" si="106">I87/5</f>
        <v>1</v>
      </c>
      <c r="E87" s="1">
        <f t="shared" si="20"/>
        <v>0</v>
      </c>
      <c r="F87">
        <f t="shared" ref="F87" si="107">$E$17/I87</f>
        <v>819</v>
      </c>
      <c r="G87">
        <f t="shared" si="73"/>
        <v>20480</v>
      </c>
      <c r="H87">
        <f t="shared" si="18"/>
        <v>2048</v>
      </c>
      <c r="I87">
        <v>5</v>
      </c>
      <c r="J87">
        <f t="shared" si="19"/>
        <v>20480</v>
      </c>
      <c r="K87">
        <f t="shared" si="78"/>
        <v>1</v>
      </c>
      <c r="L87" s="1">
        <f t="shared" si="79"/>
        <v>0</v>
      </c>
      <c r="M87" s="1">
        <f t="shared" si="74"/>
        <v>9.9951171874999994E-2</v>
      </c>
      <c r="N87">
        <f t="shared" si="70"/>
        <v>5</v>
      </c>
      <c r="O87">
        <v>4096</v>
      </c>
      <c r="P87">
        <f t="shared" si="59"/>
        <v>0</v>
      </c>
      <c r="Q87">
        <f t="shared" si="65"/>
        <v>0</v>
      </c>
      <c r="S87">
        <f t="shared" si="75"/>
        <v>0</v>
      </c>
    </row>
    <row r="88" spans="4:19">
      <c r="D88">
        <f t="shared" ref="D88" si="108">I88/11</f>
        <v>1</v>
      </c>
      <c r="E88" s="1">
        <f t="shared" si="20"/>
        <v>0</v>
      </c>
      <c r="F88">
        <f t="shared" ref="F88" si="109">$E$20/I88</f>
        <v>372</v>
      </c>
      <c r="G88">
        <f t="shared" si="73"/>
        <v>22528</v>
      </c>
      <c r="H88">
        <f t="shared" ref="H88:H93" si="110">H87</f>
        <v>2048</v>
      </c>
      <c r="I88">
        <v>11</v>
      </c>
      <c r="J88">
        <f t="shared" si="19"/>
        <v>45056</v>
      </c>
      <c r="K88">
        <f t="shared" si="78"/>
        <v>2</v>
      </c>
      <c r="L88" s="1">
        <f t="shared" si="79"/>
        <v>0</v>
      </c>
      <c r="M88" s="1">
        <f t="shared" si="74"/>
        <v>9.0864701704545456E-2</v>
      </c>
      <c r="N88">
        <f t="shared" si="70"/>
        <v>11</v>
      </c>
      <c r="O88">
        <v>2048</v>
      </c>
      <c r="P88">
        <f t="shared" si="59"/>
        <v>0</v>
      </c>
      <c r="Q88">
        <f t="shared" si="65"/>
        <v>0</v>
      </c>
      <c r="S88">
        <f t="shared" si="75"/>
        <v>2048</v>
      </c>
    </row>
    <row r="89" spans="4:19">
      <c r="D89">
        <f t="shared" ref="D89" si="111">I89/3</f>
        <v>2</v>
      </c>
      <c r="E89" s="1">
        <f t="shared" si="20"/>
        <v>7.326007326007326E-4</v>
      </c>
      <c r="F89">
        <f t="shared" ref="F89" si="112">$E$16/I89</f>
        <v>682.5</v>
      </c>
      <c r="G89">
        <f t="shared" si="73"/>
        <v>24576</v>
      </c>
      <c r="H89">
        <f t="shared" si="110"/>
        <v>2048</v>
      </c>
      <c r="I89">
        <v>6</v>
      </c>
      <c r="J89">
        <f t="shared" ref="J89:J124" si="113">4096*I89</f>
        <v>24576</v>
      </c>
      <c r="K89">
        <f t="shared" si="78"/>
        <v>1</v>
      </c>
      <c r="L89" s="1">
        <f t="shared" si="79"/>
        <v>0</v>
      </c>
      <c r="M89" s="1">
        <f t="shared" si="74"/>
        <v>8.3292643229166671E-2</v>
      </c>
      <c r="N89">
        <f t="shared" si="70"/>
        <v>6</v>
      </c>
      <c r="O89">
        <v>8192</v>
      </c>
      <c r="P89">
        <f t="shared" si="59"/>
        <v>0</v>
      </c>
      <c r="Q89">
        <f t="shared" si="65"/>
        <v>0</v>
      </c>
      <c r="S89">
        <f t="shared" si="75"/>
        <v>0</v>
      </c>
    </row>
    <row r="90" spans="4:19">
      <c r="D90">
        <f t="shared" ref="D90" si="114">I90/13</f>
        <v>1</v>
      </c>
      <c r="E90" s="1">
        <f t="shared" si="20"/>
        <v>0</v>
      </c>
      <c r="F90">
        <f t="shared" ref="F90" si="115">$E$21/I90</f>
        <v>315</v>
      </c>
      <c r="G90">
        <f t="shared" si="73"/>
        <v>26624</v>
      </c>
      <c r="H90">
        <f t="shared" si="110"/>
        <v>2048</v>
      </c>
      <c r="I90">
        <v>13</v>
      </c>
      <c r="J90">
        <f t="shared" si="113"/>
        <v>53248</v>
      </c>
      <c r="K90">
        <f t="shared" si="78"/>
        <v>2</v>
      </c>
      <c r="L90" s="1">
        <f t="shared" si="79"/>
        <v>0</v>
      </c>
      <c r="M90" s="1">
        <f t="shared" si="74"/>
        <v>7.6885516826923073E-2</v>
      </c>
      <c r="N90">
        <f t="shared" si="70"/>
        <v>13</v>
      </c>
      <c r="O90">
        <v>2048</v>
      </c>
      <c r="P90">
        <f t="shared" si="59"/>
        <v>0</v>
      </c>
      <c r="Q90">
        <f t="shared" si="65"/>
        <v>0</v>
      </c>
      <c r="S90">
        <f t="shared" si="75"/>
        <v>2048</v>
      </c>
    </row>
    <row r="91" spans="4:19">
      <c r="D91">
        <f t="shared" ref="D91" si="116">I91/7</f>
        <v>1</v>
      </c>
      <c r="E91" s="1">
        <f t="shared" si="20"/>
        <v>0</v>
      </c>
      <c r="F91">
        <f t="shared" ref="F91" si="117">$E$18/I91</f>
        <v>585</v>
      </c>
      <c r="G91">
        <f t="shared" si="73"/>
        <v>28672</v>
      </c>
      <c r="H91">
        <f t="shared" si="110"/>
        <v>2048</v>
      </c>
      <c r="I91">
        <v>7</v>
      </c>
      <c r="J91">
        <f t="shared" si="113"/>
        <v>28672</v>
      </c>
      <c r="K91">
        <f t="shared" si="78"/>
        <v>1</v>
      </c>
      <c r="L91" s="1">
        <f t="shared" si="79"/>
        <v>0</v>
      </c>
      <c r="M91" s="1">
        <f t="shared" si="74"/>
        <v>7.1393694196428575E-2</v>
      </c>
      <c r="N91">
        <f t="shared" si="70"/>
        <v>7</v>
      </c>
      <c r="O91">
        <v>4096</v>
      </c>
      <c r="P91">
        <f t="shared" si="59"/>
        <v>0</v>
      </c>
      <c r="Q91">
        <f t="shared" si="65"/>
        <v>0</v>
      </c>
      <c r="S91">
        <f t="shared" si="75"/>
        <v>0</v>
      </c>
    </row>
    <row r="92" spans="4:19">
      <c r="D92">
        <f t="shared" ref="D92" si="118">I92/15</f>
        <v>1</v>
      </c>
      <c r="E92" s="1">
        <f t="shared" si="20"/>
        <v>0</v>
      </c>
      <c r="F92">
        <f t="shared" ref="F92" si="119">$E$22/I92</f>
        <v>273</v>
      </c>
      <c r="G92">
        <f t="shared" si="73"/>
        <v>30720</v>
      </c>
      <c r="H92">
        <f t="shared" si="110"/>
        <v>2048</v>
      </c>
      <c r="I92">
        <v>15</v>
      </c>
      <c r="J92">
        <f t="shared" si="113"/>
        <v>61440</v>
      </c>
      <c r="K92">
        <f t="shared" si="78"/>
        <v>2</v>
      </c>
      <c r="L92" s="1">
        <f t="shared" si="79"/>
        <v>0</v>
      </c>
      <c r="M92" s="1">
        <f t="shared" si="74"/>
        <v>6.6634114583333334E-2</v>
      </c>
      <c r="N92">
        <f t="shared" si="70"/>
        <v>15</v>
      </c>
      <c r="O92">
        <v>2048</v>
      </c>
      <c r="P92">
        <f t="shared" si="59"/>
        <v>0</v>
      </c>
      <c r="Q92">
        <f t="shared" si="65"/>
        <v>0</v>
      </c>
      <c r="S92">
        <f t="shared" si="75"/>
        <v>2048</v>
      </c>
    </row>
    <row r="93" spans="4:19">
      <c r="D93">
        <f t="shared" ref="D93" si="120">I93</f>
        <v>8</v>
      </c>
      <c r="E93" s="1">
        <f t="shared" si="20"/>
        <v>1.221597849987784E-3</v>
      </c>
      <c r="F93">
        <f t="shared" ref="F93" si="121">$E$15/I93</f>
        <v>511.625</v>
      </c>
      <c r="G93">
        <f t="shared" si="73"/>
        <v>32768</v>
      </c>
      <c r="H93">
        <f t="shared" si="110"/>
        <v>2048</v>
      </c>
      <c r="I93">
        <v>8</v>
      </c>
      <c r="J93">
        <f t="shared" si="113"/>
        <v>32768</v>
      </c>
      <c r="K93">
        <f t="shared" si="78"/>
        <v>1</v>
      </c>
      <c r="L93" s="1">
        <f t="shared" si="79"/>
        <v>0</v>
      </c>
      <c r="M93" s="1">
        <f t="shared" si="74"/>
        <v>6.2469482421875E-2</v>
      </c>
      <c r="N93">
        <f t="shared" si="70"/>
        <v>8</v>
      </c>
      <c r="O93">
        <v>32768</v>
      </c>
      <c r="P93">
        <f t="shared" si="59"/>
        <v>0</v>
      </c>
      <c r="Q93">
        <f>P93/I93</f>
        <v>0</v>
      </c>
      <c r="S93">
        <f t="shared" si="75"/>
        <v>0</v>
      </c>
    </row>
    <row r="94" spans="4:19">
      <c r="D94">
        <f t="shared" ref="D94" si="122">I94/9</f>
        <v>1</v>
      </c>
      <c r="E94" s="1">
        <f t="shared" si="20"/>
        <v>0</v>
      </c>
      <c r="F94">
        <f t="shared" ref="F94" si="123">$E$19/I94</f>
        <v>455</v>
      </c>
      <c r="G94">
        <f t="shared" ref="G94:G101" si="124">G93+H94</f>
        <v>36864</v>
      </c>
      <c r="H94">
        <v>4096</v>
      </c>
      <c r="I94">
        <v>9</v>
      </c>
      <c r="J94">
        <f t="shared" si="113"/>
        <v>36864</v>
      </c>
      <c r="K94">
        <f t="shared" ref="K94:K101" si="125">FLOOR(J94/G94,1)</f>
        <v>1</v>
      </c>
      <c r="L94" s="1">
        <f t="shared" ref="L94:L101" si="126">(J94-K94*G94)/J94</f>
        <v>0</v>
      </c>
      <c r="M94" s="1">
        <f t="shared" ref="M94:M101" si="127">(G94-(G93+1))/(G94)</f>
        <v>0.111083984375</v>
      </c>
      <c r="N94">
        <f t="shared" ref="N94:N101" si="128">J94/4096</f>
        <v>9</v>
      </c>
      <c r="O94">
        <v>2048</v>
      </c>
      <c r="P94">
        <f t="shared" si="59"/>
        <v>0</v>
      </c>
      <c r="Q94">
        <f t="shared" ref="Q94:Q100" si="129">P94/I94</f>
        <v>0</v>
      </c>
      <c r="S94">
        <f t="shared" si="75"/>
        <v>0</v>
      </c>
    </row>
    <row r="95" spans="4:19">
      <c r="D95">
        <f t="shared" ref="D95" si="130">I95/5</f>
        <v>2</v>
      </c>
      <c r="E95" s="1">
        <f t="shared" si="20"/>
        <v>1.221001221001221E-3</v>
      </c>
      <c r="F95">
        <f t="shared" ref="F95" si="131">$E$17/I95</f>
        <v>409.5</v>
      </c>
      <c r="G95">
        <f t="shared" si="124"/>
        <v>40960</v>
      </c>
      <c r="H95">
        <f t="shared" ref="H95:H157" si="132">H94</f>
        <v>4096</v>
      </c>
      <c r="I95">
        <v>10</v>
      </c>
      <c r="J95">
        <f t="shared" si="113"/>
        <v>40960</v>
      </c>
      <c r="K95">
        <f t="shared" si="125"/>
        <v>1</v>
      </c>
      <c r="L95" s="1">
        <f t="shared" si="126"/>
        <v>0</v>
      </c>
      <c r="M95" s="1">
        <f t="shared" si="127"/>
        <v>9.99755859375E-2</v>
      </c>
      <c r="N95">
        <f t="shared" si="128"/>
        <v>10</v>
      </c>
      <c r="O95">
        <v>4096</v>
      </c>
      <c r="P95">
        <f t="shared" si="59"/>
        <v>0</v>
      </c>
      <c r="Q95">
        <f t="shared" si="129"/>
        <v>0</v>
      </c>
      <c r="S95">
        <f t="shared" si="75"/>
        <v>0</v>
      </c>
    </row>
    <row r="96" spans="4:19">
      <c r="D96">
        <f t="shared" ref="D96" si="133">I96/11</f>
        <v>1</v>
      </c>
      <c r="E96" s="1">
        <f t="shared" si="20"/>
        <v>0</v>
      </c>
      <c r="F96">
        <f t="shared" ref="F96" si="134">$E$20/I96</f>
        <v>372</v>
      </c>
      <c r="G96">
        <f t="shared" si="124"/>
        <v>45056</v>
      </c>
      <c r="H96">
        <f t="shared" si="132"/>
        <v>4096</v>
      </c>
      <c r="I96">
        <v>11</v>
      </c>
      <c r="J96">
        <f t="shared" si="113"/>
        <v>45056</v>
      </c>
      <c r="K96">
        <f t="shared" si="125"/>
        <v>1</v>
      </c>
      <c r="L96" s="1">
        <f t="shared" si="126"/>
        <v>0</v>
      </c>
      <c r="M96" s="1">
        <f t="shared" si="127"/>
        <v>9.0886896306818177E-2</v>
      </c>
      <c r="N96">
        <f t="shared" si="128"/>
        <v>11</v>
      </c>
      <c r="O96">
        <v>2048</v>
      </c>
      <c r="P96">
        <f t="shared" si="59"/>
        <v>0</v>
      </c>
      <c r="Q96">
        <f t="shared" si="129"/>
        <v>0</v>
      </c>
      <c r="S96">
        <f t="shared" si="75"/>
        <v>0</v>
      </c>
    </row>
    <row r="97" spans="4:30">
      <c r="D97">
        <f t="shared" ref="D97" si="135">I97/3</f>
        <v>4</v>
      </c>
      <c r="E97" s="1">
        <f t="shared" si="20"/>
        <v>7.326007326007326E-4</v>
      </c>
      <c r="F97">
        <f t="shared" ref="F97" si="136">$E$16/I97</f>
        <v>341.25</v>
      </c>
      <c r="G97">
        <f t="shared" si="124"/>
        <v>49152</v>
      </c>
      <c r="H97">
        <f t="shared" si="132"/>
        <v>4096</v>
      </c>
      <c r="I97">
        <v>12</v>
      </c>
      <c r="J97">
        <f t="shared" si="113"/>
        <v>49152</v>
      </c>
      <c r="K97">
        <f t="shared" si="125"/>
        <v>1</v>
      </c>
      <c r="L97" s="1">
        <f t="shared" si="126"/>
        <v>0</v>
      </c>
      <c r="M97" s="1">
        <f t="shared" si="127"/>
        <v>8.331298828125E-2</v>
      </c>
      <c r="N97">
        <f t="shared" si="128"/>
        <v>12</v>
      </c>
      <c r="O97">
        <v>8192</v>
      </c>
      <c r="P97">
        <f t="shared" si="59"/>
        <v>0</v>
      </c>
      <c r="Q97">
        <f t="shared" si="129"/>
        <v>0</v>
      </c>
      <c r="S97">
        <f t="shared" si="75"/>
        <v>0</v>
      </c>
    </row>
    <row r="98" spans="4:30">
      <c r="D98">
        <f t="shared" ref="D98" si="137">I98/13</f>
        <v>1</v>
      </c>
      <c r="E98" s="1">
        <f t="shared" si="20"/>
        <v>0</v>
      </c>
      <c r="F98">
        <f t="shared" ref="F98" si="138">$E$21/I98</f>
        <v>315</v>
      </c>
      <c r="G98">
        <f t="shared" si="124"/>
        <v>53248</v>
      </c>
      <c r="H98">
        <f t="shared" si="132"/>
        <v>4096</v>
      </c>
      <c r="I98">
        <v>13</v>
      </c>
      <c r="J98">
        <f t="shared" si="113"/>
        <v>53248</v>
      </c>
      <c r="K98">
        <f t="shared" si="125"/>
        <v>1</v>
      </c>
      <c r="L98" s="1">
        <f t="shared" si="126"/>
        <v>0</v>
      </c>
      <c r="M98" s="1">
        <f t="shared" si="127"/>
        <v>7.6904296875E-2</v>
      </c>
      <c r="N98">
        <f t="shared" si="128"/>
        <v>13</v>
      </c>
      <c r="O98">
        <v>2048</v>
      </c>
      <c r="P98">
        <f t="shared" si="59"/>
        <v>0</v>
      </c>
      <c r="Q98">
        <f t="shared" si="129"/>
        <v>0</v>
      </c>
      <c r="S98">
        <f t="shared" si="75"/>
        <v>0</v>
      </c>
    </row>
    <row r="99" spans="4:30">
      <c r="D99">
        <f t="shared" ref="D99" si="139">I99/7</f>
        <v>2</v>
      </c>
      <c r="E99" s="1">
        <f t="shared" si="20"/>
        <v>1.7094017094017094E-3</v>
      </c>
      <c r="F99">
        <f t="shared" ref="F99" si="140">$E$18/I99</f>
        <v>292.5</v>
      </c>
      <c r="G99">
        <f t="shared" si="124"/>
        <v>57344</v>
      </c>
      <c r="H99">
        <f t="shared" si="132"/>
        <v>4096</v>
      </c>
      <c r="I99">
        <v>14</v>
      </c>
      <c r="J99">
        <f t="shared" si="113"/>
        <v>57344</v>
      </c>
      <c r="K99">
        <f t="shared" si="125"/>
        <v>1</v>
      </c>
      <c r="L99" s="1">
        <f t="shared" si="126"/>
        <v>0</v>
      </c>
      <c r="M99" s="1">
        <f t="shared" si="127"/>
        <v>7.14111328125E-2</v>
      </c>
      <c r="N99">
        <f t="shared" si="128"/>
        <v>14</v>
      </c>
      <c r="O99">
        <v>4096</v>
      </c>
      <c r="P99">
        <f t="shared" ref="P99:P124" si="141">J99-G99*K99</f>
        <v>0</v>
      </c>
      <c r="Q99">
        <f t="shared" si="129"/>
        <v>0</v>
      </c>
      <c r="S99">
        <f t="shared" si="75"/>
        <v>0</v>
      </c>
    </row>
    <row r="100" spans="4:30">
      <c r="D100">
        <f t="shared" ref="D100" si="142">I100/15</f>
        <v>1</v>
      </c>
      <c r="E100" s="1">
        <f t="shared" si="20"/>
        <v>0</v>
      </c>
      <c r="F100">
        <f t="shared" ref="F100" si="143">$E$22/I100</f>
        <v>273</v>
      </c>
      <c r="G100">
        <f t="shared" si="124"/>
        <v>61440</v>
      </c>
      <c r="H100">
        <f t="shared" si="132"/>
        <v>4096</v>
      </c>
      <c r="I100">
        <v>15</v>
      </c>
      <c r="J100">
        <f t="shared" si="113"/>
        <v>61440</v>
      </c>
      <c r="K100">
        <f t="shared" si="125"/>
        <v>1</v>
      </c>
      <c r="L100" s="1">
        <f t="shared" si="126"/>
        <v>0</v>
      </c>
      <c r="M100" s="1">
        <f t="shared" si="127"/>
        <v>6.6650390625E-2</v>
      </c>
      <c r="N100">
        <f t="shared" si="128"/>
        <v>15</v>
      </c>
      <c r="O100">
        <v>2048</v>
      </c>
      <c r="P100">
        <f t="shared" si="141"/>
        <v>0</v>
      </c>
      <c r="Q100">
        <f t="shared" si="129"/>
        <v>0</v>
      </c>
      <c r="S100">
        <f t="shared" si="75"/>
        <v>0</v>
      </c>
    </row>
    <row r="101" spans="4:30">
      <c r="D101">
        <f t="shared" ref="D101" si="144">I101</f>
        <v>16</v>
      </c>
      <c r="E101" s="1">
        <f t="shared" ref="E101" si="145">(F101 - FLOOR(F101,1))/F101</f>
        <v>3.1761544099682387E-3</v>
      </c>
      <c r="F101">
        <f t="shared" ref="F101" si="146">$E$15/I101</f>
        <v>255.8125</v>
      </c>
      <c r="G101">
        <f t="shared" si="124"/>
        <v>65536</v>
      </c>
      <c r="H101">
        <f t="shared" si="132"/>
        <v>4096</v>
      </c>
      <c r="I101">
        <v>16</v>
      </c>
      <c r="J101">
        <f t="shared" si="113"/>
        <v>65536</v>
      </c>
      <c r="K101">
        <f t="shared" si="125"/>
        <v>1</v>
      </c>
      <c r="L101" s="1">
        <f t="shared" si="126"/>
        <v>0</v>
      </c>
      <c r="M101" s="1">
        <f t="shared" si="127"/>
        <v>6.24847412109375E-2</v>
      </c>
      <c r="N101">
        <f t="shared" si="128"/>
        <v>16</v>
      </c>
      <c r="O101">
        <f>O93*2</f>
        <v>65536</v>
      </c>
      <c r="P101">
        <f t="shared" si="141"/>
        <v>0</v>
      </c>
      <c r="Q101">
        <f>P101/I101</f>
        <v>0</v>
      </c>
      <c r="S101">
        <f t="shared" si="75"/>
        <v>0</v>
      </c>
    </row>
    <row r="102" spans="4:30">
      <c r="D102">
        <f t="shared" ref="D102" si="147">I102/9</f>
        <v>2</v>
      </c>
      <c r="E102" s="1">
        <f>(F102 - FLOOR(F102,1))/F102</f>
        <v>2.1978021978021978E-3</v>
      </c>
      <c r="F102">
        <f t="shared" ref="F102" si="148">$E$19/I102</f>
        <v>227.5</v>
      </c>
      <c r="G102">
        <f t="shared" ref="G102:G109" si="149">G101+H102</f>
        <v>73728</v>
      </c>
      <c r="H102">
        <v>8192</v>
      </c>
      <c r="I102">
        <v>18</v>
      </c>
      <c r="J102">
        <f t="shared" si="113"/>
        <v>73728</v>
      </c>
      <c r="K102">
        <f t="shared" ref="K102:K109" si="150">FLOOR(J102/G102,1)</f>
        <v>1</v>
      </c>
      <c r="L102" s="1">
        <f t="shared" ref="L102:L109" si="151">(J102-K102*G102)/J102</f>
        <v>0</v>
      </c>
      <c r="M102" s="1">
        <f t="shared" ref="M102:M109" si="152">(G102-(G101+1))/(G102)</f>
        <v>0.11109754774305555</v>
      </c>
      <c r="N102">
        <f t="shared" ref="N102:N109" si="153">J102/4096</f>
        <v>18</v>
      </c>
      <c r="O102">
        <f t="shared" ref="O102:O165" si="154">O94*2</f>
        <v>4096</v>
      </c>
      <c r="P102">
        <f t="shared" si="141"/>
        <v>0</v>
      </c>
      <c r="Q102">
        <f t="shared" ref="Q102:Q108" si="155">P102/I102</f>
        <v>0</v>
      </c>
      <c r="S102">
        <f t="shared" si="75"/>
        <v>0</v>
      </c>
    </row>
    <row r="103" spans="4:30">
      <c r="D103">
        <f t="shared" ref="D103" si="156">I103/5</f>
        <v>4</v>
      </c>
      <c r="E103" s="1">
        <f t="shared" ref="E103:E124" si="157">(F103 - FLOOR(F103,1))/F103</f>
        <v>3.663003663003663E-3</v>
      </c>
      <c r="F103">
        <f t="shared" ref="F103" si="158">$E$17/I103</f>
        <v>204.75</v>
      </c>
      <c r="G103">
        <f t="shared" si="149"/>
        <v>81920</v>
      </c>
      <c r="H103">
        <f t="shared" si="132"/>
        <v>8192</v>
      </c>
      <c r="I103">
        <v>20</v>
      </c>
      <c r="J103">
        <f t="shared" si="113"/>
        <v>81920</v>
      </c>
      <c r="K103">
        <f t="shared" si="150"/>
        <v>1</v>
      </c>
      <c r="L103" s="1">
        <f t="shared" si="151"/>
        <v>0</v>
      </c>
      <c r="M103" s="1">
        <f t="shared" si="152"/>
        <v>9.9987792968750003E-2</v>
      </c>
      <c r="N103">
        <f t="shared" si="153"/>
        <v>20</v>
      </c>
      <c r="O103">
        <f t="shared" si="154"/>
        <v>8192</v>
      </c>
      <c r="P103">
        <f t="shared" si="141"/>
        <v>0</v>
      </c>
      <c r="Q103">
        <f t="shared" si="155"/>
        <v>0</v>
      </c>
      <c r="S103">
        <f t="shared" si="75"/>
        <v>0</v>
      </c>
    </row>
    <row r="104" spans="4:30">
      <c r="D104">
        <f t="shared" ref="D104" si="159">I104/11</f>
        <v>2</v>
      </c>
      <c r="E104" s="1">
        <f t="shared" si="157"/>
        <v>0</v>
      </c>
      <c r="F104">
        <f t="shared" ref="F104" si="160">$E$20/I104</f>
        <v>186</v>
      </c>
      <c r="G104">
        <f t="shared" si="149"/>
        <v>90112</v>
      </c>
      <c r="H104">
        <f t="shared" si="132"/>
        <v>8192</v>
      </c>
      <c r="I104">
        <v>22</v>
      </c>
      <c r="J104">
        <f t="shared" si="113"/>
        <v>90112</v>
      </c>
      <c r="K104">
        <f t="shared" si="150"/>
        <v>1</v>
      </c>
      <c r="L104" s="1">
        <f t="shared" si="151"/>
        <v>0</v>
      </c>
      <c r="M104" s="1">
        <f t="shared" si="152"/>
        <v>9.0897993607954544E-2</v>
      </c>
      <c r="N104">
        <f t="shared" si="153"/>
        <v>22</v>
      </c>
      <c r="O104">
        <f t="shared" si="154"/>
        <v>4096</v>
      </c>
      <c r="P104">
        <f t="shared" si="141"/>
        <v>0</v>
      </c>
      <c r="Q104">
        <f t="shared" si="155"/>
        <v>0</v>
      </c>
      <c r="S104">
        <f t="shared" si="75"/>
        <v>0</v>
      </c>
    </row>
    <row r="105" spans="4:30">
      <c r="D105">
        <f t="shared" ref="D105" si="161">I105/3</f>
        <v>8</v>
      </c>
      <c r="E105" s="1">
        <f t="shared" si="157"/>
        <v>3.663003663003663E-3</v>
      </c>
      <c r="F105">
        <f t="shared" ref="F105" si="162">$E$16/I105</f>
        <v>170.625</v>
      </c>
      <c r="G105">
        <f t="shared" si="149"/>
        <v>98304</v>
      </c>
      <c r="H105">
        <f t="shared" si="132"/>
        <v>8192</v>
      </c>
      <c r="I105">
        <v>24</v>
      </c>
      <c r="J105">
        <f t="shared" si="113"/>
        <v>98304</v>
      </c>
      <c r="K105">
        <f t="shared" si="150"/>
        <v>1</v>
      </c>
      <c r="L105" s="1">
        <f t="shared" si="151"/>
        <v>0</v>
      </c>
      <c r="M105" s="1">
        <f t="shared" si="152"/>
        <v>8.3323160807291671E-2</v>
      </c>
      <c r="N105">
        <f t="shared" si="153"/>
        <v>24</v>
      </c>
      <c r="O105">
        <f t="shared" si="154"/>
        <v>16384</v>
      </c>
      <c r="P105">
        <f t="shared" si="141"/>
        <v>0</v>
      </c>
      <c r="Q105">
        <f t="shared" si="155"/>
        <v>0</v>
      </c>
      <c r="S105">
        <f t="shared" si="75"/>
        <v>0</v>
      </c>
    </row>
    <row r="106" spans="4:30">
      <c r="D106">
        <f t="shared" ref="D106" si="163">I106/13</f>
        <v>2</v>
      </c>
      <c r="E106" s="1">
        <f t="shared" si="157"/>
        <v>3.1746031746031746E-3</v>
      </c>
      <c r="F106">
        <f t="shared" ref="F106" si="164">$E$21/I106</f>
        <v>157.5</v>
      </c>
      <c r="G106">
        <f t="shared" si="149"/>
        <v>106496</v>
      </c>
      <c r="H106">
        <f t="shared" si="132"/>
        <v>8192</v>
      </c>
      <c r="I106">
        <v>26</v>
      </c>
      <c r="J106">
        <f t="shared" si="113"/>
        <v>106496</v>
      </c>
      <c r="K106">
        <f t="shared" si="150"/>
        <v>1</v>
      </c>
      <c r="L106" s="1">
        <f t="shared" si="151"/>
        <v>0</v>
      </c>
      <c r="M106" s="1">
        <f t="shared" si="152"/>
        <v>7.6913686899038464E-2</v>
      </c>
      <c r="N106">
        <f t="shared" si="153"/>
        <v>26</v>
      </c>
      <c r="O106">
        <f t="shared" si="154"/>
        <v>4096</v>
      </c>
      <c r="P106">
        <f t="shared" si="141"/>
        <v>0</v>
      </c>
      <c r="Q106">
        <f t="shared" si="155"/>
        <v>0</v>
      </c>
      <c r="S106">
        <f t="shared" si="75"/>
        <v>0</v>
      </c>
    </row>
    <row r="107" spans="4:30">
      <c r="D107">
        <f t="shared" ref="D107" si="165">I107/7</f>
        <v>4</v>
      </c>
      <c r="E107" s="1">
        <f t="shared" si="157"/>
        <v>1.7094017094017094E-3</v>
      </c>
      <c r="F107">
        <f t="shared" ref="F107" si="166">$E$18/I107</f>
        <v>146.25</v>
      </c>
      <c r="G107">
        <f t="shared" si="149"/>
        <v>114688</v>
      </c>
      <c r="H107">
        <f t="shared" si="132"/>
        <v>8192</v>
      </c>
      <c r="I107">
        <v>28</v>
      </c>
      <c r="J107">
        <f t="shared" si="113"/>
        <v>114688</v>
      </c>
      <c r="K107">
        <f t="shared" si="150"/>
        <v>1</v>
      </c>
      <c r="L107" s="1">
        <f t="shared" si="151"/>
        <v>0</v>
      </c>
      <c r="M107" s="1">
        <f t="shared" si="152"/>
        <v>7.1419852120535712E-2</v>
      </c>
      <c r="N107">
        <f t="shared" si="153"/>
        <v>28</v>
      </c>
      <c r="O107">
        <f t="shared" si="154"/>
        <v>8192</v>
      </c>
      <c r="P107">
        <f t="shared" si="141"/>
        <v>0</v>
      </c>
      <c r="Q107">
        <f t="shared" si="155"/>
        <v>0</v>
      </c>
      <c r="S107">
        <f t="shared" si="75"/>
        <v>0</v>
      </c>
    </row>
    <row r="108" spans="4:30">
      <c r="D108">
        <f t="shared" ref="D108" si="167">I108/15</f>
        <v>2</v>
      </c>
      <c r="E108" s="1">
        <f t="shared" si="157"/>
        <v>3.663003663003663E-3</v>
      </c>
      <c r="F108">
        <f t="shared" ref="F108" si="168">$E$22/I108</f>
        <v>136.5</v>
      </c>
      <c r="G108">
        <f t="shared" si="149"/>
        <v>122880</v>
      </c>
      <c r="H108">
        <f t="shared" si="132"/>
        <v>8192</v>
      </c>
      <c r="I108">
        <v>30</v>
      </c>
      <c r="J108">
        <f t="shared" si="113"/>
        <v>122880</v>
      </c>
      <c r="K108">
        <f t="shared" si="150"/>
        <v>1</v>
      </c>
      <c r="L108" s="1">
        <f t="shared" si="151"/>
        <v>0</v>
      </c>
      <c r="M108" s="1">
        <f t="shared" si="152"/>
        <v>6.665852864583334E-2</v>
      </c>
      <c r="N108">
        <f t="shared" si="153"/>
        <v>30</v>
      </c>
      <c r="O108">
        <f t="shared" si="154"/>
        <v>4096</v>
      </c>
      <c r="P108">
        <f t="shared" si="141"/>
        <v>0</v>
      </c>
      <c r="Q108">
        <f t="shared" si="155"/>
        <v>0</v>
      </c>
      <c r="S108">
        <f t="shared" si="75"/>
        <v>0</v>
      </c>
    </row>
    <row r="109" spans="4:30">
      <c r="D109">
        <f t="shared" ref="D109" si="169">I109</f>
        <v>32</v>
      </c>
      <c r="E109" s="1">
        <f t="shared" si="157"/>
        <v>7.0852675299291476E-3</v>
      </c>
      <c r="F109">
        <f t="shared" ref="F109" si="170">$E$15/I109</f>
        <v>127.90625</v>
      </c>
      <c r="G109">
        <f t="shared" si="149"/>
        <v>131072</v>
      </c>
      <c r="H109">
        <f t="shared" si="132"/>
        <v>8192</v>
      </c>
      <c r="I109">
        <v>32</v>
      </c>
      <c r="J109">
        <f t="shared" si="113"/>
        <v>131072</v>
      </c>
      <c r="K109">
        <f t="shared" si="150"/>
        <v>1</v>
      </c>
      <c r="L109" s="1">
        <f t="shared" si="151"/>
        <v>0</v>
      </c>
      <c r="M109" s="1">
        <f t="shared" si="152"/>
        <v>6.249237060546875E-2</v>
      </c>
      <c r="N109">
        <f t="shared" si="153"/>
        <v>32</v>
      </c>
      <c r="O109">
        <f t="shared" si="154"/>
        <v>131072</v>
      </c>
      <c r="P109">
        <f t="shared" si="141"/>
        <v>0</v>
      </c>
      <c r="Q109">
        <f>P109/I109</f>
        <v>0</v>
      </c>
      <c r="S109">
        <f t="shared" si="75"/>
        <v>0</v>
      </c>
    </row>
    <row r="110" spans="4:30">
      <c r="D110">
        <f t="shared" ref="D110" si="171">I110/9</f>
        <v>4</v>
      </c>
      <c r="E110" s="1">
        <f t="shared" si="157"/>
        <v>6.5934065934065934E-3</v>
      </c>
      <c r="F110">
        <f t="shared" ref="F110" si="172">$E$19/I110</f>
        <v>113.75</v>
      </c>
      <c r="G110">
        <f t="shared" ref="G110:G117" si="173">G109+H110</f>
        <v>147456</v>
      </c>
      <c r="H110">
        <f>H102*2</f>
        <v>16384</v>
      </c>
      <c r="I110">
        <f>I102*2</f>
        <v>36</v>
      </c>
      <c r="J110">
        <f t="shared" si="113"/>
        <v>147456</v>
      </c>
      <c r="K110">
        <f t="shared" ref="K110:K117" si="174">FLOOR(J110/G110,1)</f>
        <v>1</v>
      </c>
      <c r="L110" s="1">
        <f t="shared" ref="L110:L117" si="175">(J110-K110*G110)/J110</f>
        <v>0</v>
      </c>
      <c r="M110" s="1">
        <f t="shared" ref="M110:M117" si="176">(G110-(G109+1))/(G110)</f>
        <v>0.11110432942708333</v>
      </c>
      <c r="N110">
        <f t="shared" ref="N110:N117" si="177">J110/4096</f>
        <v>36</v>
      </c>
      <c r="O110">
        <f t="shared" si="154"/>
        <v>8192</v>
      </c>
      <c r="P110">
        <f t="shared" si="141"/>
        <v>0</v>
      </c>
      <c r="Q110">
        <f t="shared" ref="Q110:Q116" si="178">P110/I110</f>
        <v>0</v>
      </c>
      <c r="S110">
        <f t="shared" si="75"/>
        <v>0</v>
      </c>
    </row>
    <row r="111" spans="4:30">
      <c r="D111">
        <f t="shared" ref="D111" si="179">I111/5</f>
        <v>8</v>
      </c>
      <c r="E111" s="1">
        <f t="shared" si="157"/>
        <v>3.663003663003663E-3</v>
      </c>
      <c r="F111">
        <f t="shared" ref="F111" si="180">$E$17/I111</f>
        <v>102.375</v>
      </c>
      <c r="G111">
        <f t="shared" si="173"/>
        <v>163840</v>
      </c>
      <c r="H111">
        <f t="shared" si="132"/>
        <v>16384</v>
      </c>
      <c r="I111">
        <f t="shared" ref="I111:I174" si="181">I103*2</f>
        <v>40</v>
      </c>
      <c r="J111">
        <f t="shared" si="113"/>
        <v>163840</v>
      </c>
      <c r="K111">
        <f t="shared" si="174"/>
        <v>1</v>
      </c>
      <c r="L111" s="1">
        <f t="shared" si="175"/>
        <v>0</v>
      </c>
      <c r="M111" s="1">
        <f t="shared" si="176"/>
        <v>9.9993896484374997E-2</v>
      </c>
      <c r="N111">
        <f t="shared" si="177"/>
        <v>40</v>
      </c>
      <c r="O111">
        <f t="shared" si="154"/>
        <v>16384</v>
      </c>
      <c r="P111">
        <f t="shared" si="141"/>
        <v>0</v>
      </c>
      <c r="Q111">
        <f t="shared" si="178"/>
        <v>0</v>
      </c>
      <c r="S111">
        <f t="shared" si="75"/>
        <v>0</v>
      </c>
    </row>
    <row r="112" spans="4:30">
      <c r="D112">
        <f t="shared" ref="D112" si="182">I112/11</f>
        <v>4</v>
      </c>
      <c r="E112" s="1">
        <f t="shared" si="157"/>
        <v>0</v>
      </c>
      <c r="F112">
        <f t="shared" ref="F112" si="183">$E$20/I112</f>
        <v>93</v>
      </c>
      <c r="G112">
        <f t="shared" si="173"/>
        <v>180224</v>
      </c>
      <c r="H112">
        <f t="shared" si="132"/>
        <v>16384</v>
      </c>
      <c r="I112">
        <f t="shared" si="181"/>
        <v>44</v>
      </c>
      <c r="J112">
        <f t="shared" si="113"/>
        <v>180224</v>
      </c>
      <c r="K112">
        <f t="shared" si="174"/>
        <v>1</v>
      </c>
      <c r="L112" s="1">
        <f t="shared" si="175"/>
        <v>0</v>
      </c>
      <c r="M112" s="1">
        <f t="shared" si="176"/>
        <v>9.0903542258522721E-2</v>
      </c>
      <c r="N112">
        <f t="shared" si="177"/>
        <v>44</v>
      </c>
      <c r="O112">
        <f t="shared" si="154"/>
        <v>8192</v>
      </c>
      <c r="P112">
        <f t="shared" si="141"/>
        <v>0</v>
      </c>
      <c r="Q112">
        <f t="shared" si="178"/>
        <v>0</v>
      </c>
      <c r="S112">
        <f t="shared" si="75"/>
        <v>0</v>
      </c>
      <c r="AC112" s="1"/>
      <c r="AD112" s="1"/>
    </row>
    <row r="113" spans="2:36">
      <c r="D113">
        <f t="shared" ref="D113" si="184">I113/3</f>
        <v>16</v>
      </c>
      <c r="E113" s="1">
        <f t="shared" si="157"/>
        <v>3.663003663003663E-3</v>
      </c>
      <c r="F113">
        <f t="shared" ref="F113" si="185">$E$16/I113</f>
        <v>85.3125</v>
      </c>
      <c r="G113">
        <f t="shared" si="173"/>
        <v>196608</v>
      </c>
      <c r="H113">
        <f t="shared" si="132"/>
        <v>16384</v>
      </c>
      <c r="I113">
        <f t="shared" si="181"/>
        <v>48</v>
      </c>
      <c r="J113">
        <f t="shared" si="113"/>
        <v>196608</v>
      </c>
      <c r="K113">
        <f t="shared" si="174"/>
        <v>1</v>
      </c>
      <c r="L113" s="1">
        <f t="shared" si="175"/>
        <v>0</v>
      </c>
      <c r="M113" s="1">
        <f t="shared" si="176"/>
        <v>8.33282470703125E-2</v>
      </c>
      <c r="N113">
        <f t="shared" si="177"/>
        <v>48</v>
      </c>
      <c r="O113">
        <f t="shared" si="154"/>
        <v>32768</v>
      </c>
      <c r="P113">
        <f t="shared" si="141"/>
        <v>0</v>
      </c>
      <c r="Q113">
        <f t="shared" si="178"/>
        <v>0</v>
      </c>
      <c r="S113">
        <f t="shared" si="75"/>
        <v>0</v>
      </c>
      <c r="Z113">
        <f>COUNTIF(I4:I124,1) + COUNTIF(I4:I124,2) + COUNTIF(I4:I124,4) +COUNTIF(I4:I124,8) +COUNTIF(I4:I124,16)+COUNTIF(I4:I124,32)+COUNTIF(I4:I124,64)</f>
        <v>20</v>
      </c>
      <c r="AC113" s="1"/>
      <c r="AD113" s="1"/>
    </row>
    <row r="114" spans="2:36">
      <c r="D114">
        <f t="shared" ref="D114" si="186">I114/13</f>
        <v>4</v>
      </c>
      <c r="E114" s="1">
        <f t="shared" si="157"/>
        <v>9.5238095238095247E-3</v>
      </c>
      <c r="F114">
        <f t="shared" ref="F114" si="187">$E$21/I114</f>
        <v>78.75</v>
      </c>
      <c r="G114">
        <f t="shared" si="173"/>
        <v>212992</v>
      </c>
      <c r="H114">
        <f t="shared" si="132"/>
        <v>16384</v>
      </c>
      <c r="I114">
        <f t="shared" si="181"/>
        <v>52</v>
      </c>
      <c r="J114">
        <f t="shared" si="113"/>
        <v>212992</v>
      </c>
      <c r="K114">
        <f t="shared" si="174"/>
        <v>1</v>
      </c>
      <c r="L114" s="1">
        <f t="shared" si="175"/>
        <v>0</v>
      </c>
      <c r="M114" s="1">
        <f t="shared" si="176"/>
        <v>7.6918381911057696E-2</v>
      </c>
      <c r="N114">
        <f t="shared" si="177"/>
        <v>52</v>
      </c>
      <c r="O114">
        <f t="shared" si="154"/>
        <v>8192</v>
      </c>
      <c r="P114">
        <f t="shared" si="141"/>
        <v>0</v>
      </c>
      <c r="Q114">
        <f t="shared" si="178"/>
        <v>0</v>
      </c>
      <c r="S114">
        <f t="shared" si="75"/>
        <v>0</v>
      </c>
      <c r="X114">
        <f>COUNT(G13:G124)</f>
        <v>112</v>
      </c>
      <c r="AA114">
        <f>X114*4096</f>
        <v>458752</v>
      </c>
      <c r="AC114" s="1"/>
      <c r="AD114" s="1"/>
      <c r="AE114">
        <f>SUM(N6:N124)*4096</f>
        <v>8380416</v>
      </c>
      <c r="AJ114">
        <f>SUM(S4:S124)</f>
        <v>254205</v>
      </c>
    </row>
    <row r="115" spans="2:36">
      <c r="D115">
        <f t="shared" ref="D115" si="188">I115/7</f>
        <v>8</v>
      </c>
      <c r="E115" s="1">
        <f t="shared" si="157"/>
        <v>1.7094017094017094E-3</v>
      </c>
      <c r="F115">
        <f t="shared" ref="F115" si="189">$E$18/I115</f>
        <v>73.125</v>
      </c>
      <c r="G115">
        <f t="shared" si="173"/>
        <v>229376</v>
      </c>
      <c r="H115">
        <f t="shared" si="132"/>
        <v>16384</v>
      </c>
      <c r="I115">
        <f t="shared" si="181"/>
        <v>56</v>
      </c>
      <c r="J115">
        <f t="shared" si="113"/>
        <v>229376</v>
      </c>
      <c r="K115">
        <f t="shared" si="174"/>
        <v>1</v>
      </c>
      <c r="L115" s="1">
        <f t="shared" si="175"/>
        <v>0</v>
      </c>
      <c r="M115" s="1">
        <f t="shared" si="176"/>
        <v>7.1424211774553575E-2</v>
      </c>
      <c r="N115">
        <f t="shared" si="177"/>
        <v>56</v>
      </c>
      <c r="O115">
        <f t="shared" si="154"/>
        <v>16384</v>
      </c>
      <c r="P115">
        <f t="shared" si="141"/>
        <v>0</v>
      </c>
      <c r="Q115">
        <f t="shared" si="178"/>
        <v>0</v>
      </c>
      <c r="S115">
        <f t="shared" si="75"/>
        <v>0</v>
      </c>
      <c r="AC115" s="1"/>
      <c r="AD115" s="1"/>
      <c r="AE115">
        <f>AE114/4096</f>
        <v>2046</v>
      </c>
      <c r="AJ115">
        <f>AJ114/4096</f>
        <v>62.061767578125</v>
      </c>
    </row>
    <row r="116" spans="2:36">
      <c r="D116">
        <f t="shared" ref="D116" si="190">I116/15</f>
        <v>4</v>
      </c>
      <c r="E116" s="1">
        <f t="shared" si="157"/>
        <v>3.663003663003663E-3</v>
      </c>
      <c r="F116">
        <f t="shared" ref="F116" si="191">$E$22/I116</f>
        <v>68.25</v>
      </c>
      <c r="G116">
        <f t="shared" si="173"/>
        <v>245760</v>
      </c>
      <c r="H116">
        <f t="shared" si="132"/>
        <v>16384</v>
      </c>
      <c r="I116">
        <f t="shared" si="181"/>
        <v>60</v>
      </c>
      <c r="J116">
        <f t="shared" si="113"/>
        <v>245760</v>
      </c>
      <c r="K116">
        <f t="shared" si="174"/>
        <v>1</v>
      </c>
      <c r="L116" s="1">
        <f t="shared" si="175"/>
        <v>0</v>
      </c>
      <c r="M116" s="1">
        <f t="shared" si="176"/>
        <v>6.6662597656250003E-2</v>
      </c>
      <c r="N116">
        <f t="shared" si="177"/>
        <v>60</v>
      </c>
      <c r="O116">
        <f t="shared" si="154"/>
        <v>8192</v>
      </c>
      <c r="P116">
        <f t="shared" si="141"/>
        <v>0</v>
      </c>
      <c r="Q116">
        <f t="shared" si="178"/>
        <v>0</v>
      </c>
      <c r="S116">
        <f t="shared" si="75"/>
        <v>0</v>
      </c>
      <c r="X116">
        <f>X114/8</f>
        <v>14</v>
      </c>
      <c r="AC116" s="1"/>
      <c r="AD116" s="1"/>
    </row>
    <row r="117" spans="2:36">
      <c r="D117">
        <f t="shared" ref="D117" si="192">I117</f>
        <v>64</v>
      </c>
      <c r="E117" s="1">
        <f t="shared" si="157"/>
        <v>1.4903493769850965E-2</v>
      </c>
      <c r="F117">
        <f t="shared" ref="F117" si="193">$E$15/I117</f>
        <v>63.953125</v>
      </c>
      <c r="G117">
        <f t="shared" si="173"/>
        <v>262144</v>
      </c>
      <c r="H117">
        <f t="shared" si="132"/>
        <v>16384</v>
      </c>
      <c r="I117">
        <f t="shared" si="181"/>
        <v>64</v>
      </c>
      <c r="J117">
        <f t="shared" si="113"/>
        <v>262144</v>
      </c>
      <c r="K117">
        <f t="shared" si="174"/>
        <v>1</v>
      </c>
      <c r="L117" s="1">
        <f t="shared" si="175"/>
        <v>0</v>
      </c>
      <c r="M117" s="1">
        <f t="shared" si="176"/>
        <v>6.2496185302734375E-2</v>
      </c>
      <c r="N117">
        <f t="shared" si="177"/>
        <v>64</v>
      </c>
      <c r="O117">
        <f t="shared" si="154"/>
        <v>262144</v>
      </c>
      <c r="P117">
        <f t="shared" si="141"/>
        <v>0</v>
      </c>
      <c r="Q117">
        <f>P117/I117</f>
        <v>0</v>
      </c>
      <c r="S117">
        <f t="shared" si="75"/>
        <v>0</v>
      </c>
      <c r="AC117" s="1"/>
      <c r="AD117" s="1"/>
    </row>
    <row r="118" spans="2:36">
      <c r="D118">
        <f t="shared" ref="D118" si="194">I118/9</f>
        <v>8</v>
      </c>
      <c r="E118" s="1">
        <f t="shared" si="157"/>
        <v>1.5384615384615385E-2</v>
      </c>
      <c r="F118">
        <f t="shared" ref="F118" si="195">$E$19/I118</f>
        <v>56.875</v>
      </c>
      <c r="G118">
        <f t="shared" ref="G118:G181" si="196">G117+H118</f>
        <v>294912</v>
      </c>
      <c r="H118">
        <f>H110*2</f>
        <v>32768</v>
      </c>
      <c r="I118">
        <f>I110*2</f>
        <v>72</v>
      </c>
      <c r="J118">
        <f t="shared" si="113"/>
        <v>294912</v>
      </c>
      <c r="K118">
        <f t="shared" ref="K118:K124" si="197">FLOOR(J118/G118,1)</f>
        <v>1</v>
      </c>
      <c r="L118" s="1">
        <f t="shared" ref="L118:L124" si="198">(J118-K118*G118)/J118</f>
        <v>0</v>
      </c>
      <c r="M118" s="1">
        <f t="shared" ref="M118:M124" si="199">(G118-(G117+1))/(G118)</f>
        <v>0.11110772026909722</v>
      </c>
      <c r="N118">
        <f t="shared" ref="N118:N124" si="200">J118/4096</f>
        <v>72</v>
      </c>
      <c r="O118">
        <f t="shared" si="154"/>
        <v>16384</v>
      </c>
      <c r="P118">
        <f t="shared" si="141"/>
        <v>0</v>
      </c>
      <c r="Q118">
        <f t="shared" ref="Q118:Q124" si="201">P118/I118</f>
        <v>0</v>
      </c>
      <c r="S118">
        <f t="shared" si="75"/>
        <v>0</v>
      </c>
      <c r="AC118" s="1"/>
      <c r="AD118" s="1"/>
    </row>
    <row r="119" spans="2:36">
      <c r="D119">
        <f t="shared" ref="D119" si="202">I119/5</f>
        <v>16</v>
      </c>
      <c r="E119" s="1">
        <f t="shared" si="157"/>
        <v>3.663003663003663E-3</v>
      </c>
      <c r="F119">
        <f t="shared" ref="F119" si="203">$E$17/I119</f>
        <v>51.1875</v>
      </c>
      <c r="G119">
        <f t="shared" si="196"/>
        <v>327680</v>
      </c>
      <c r="H119">
        <f t="shared" si="132"/>
        <v>32768</v>
      </c>
      <c r="I119">
        <f t="shared" si="181"/>
        <v>80</v>
      </c>
      <c r="J119">
        <f t="shared" si="113"/>
        <v>327680</v>
      </c>
      <c r="K119">
        <f t="shared" si="197"/>
        <v>1</v>
      </c>
      <c r="L119" s="1">
        <f t="shared" si="198"/>
        <v>0</v>
      </c>
      <c r="M119" s="1">
        <f t="shared" si="199"/>
        <v>9.9996948242187494E-2</v>
      </c>
      <c r="N119">
        <f t="shared" si="200"/>
        <v>80</v>
      </c>
      <c r="O119">
        <f t="shared" si="154"/>
        <v>32768</v>
      </c>
      <c r="P119">
        <f t="shared" si="141"/>
        <v>0</v>
      </c>
      <c r="Q119">
        <f t="shared" si="201"/>
        <v>0</v>
      </c>
      <c r="S119">
        <f t="shared" si="75"/>
        <v>0</v>
      </c>
      <c r="AC119" s="1"/>
      <c r="AD119" s="1"/>
    </row>
    <row r="120" spans="2:36">
      <c r="D120">
        <f t="shared" ref="D120" si="204">I120/11</f>
        <v>8</v>
      </c>
      <c r="E120" s="1">
        <f t="shared" si="157"/>
        <v>1.0752688172043012E-2</v>
      </c>
      <c r="F120">
        <f t="shared" ref="F120" si="205">$E$20/I120</f>
        <v>46.5</v>
      </c>
      <c r="G120">
        <f t="shared" si="196"/>
        <v>360448</v>
      </c>
      <c r="H120">
        <f t="shared" si="132"/>
        <v>32768</v>
      </c>
      <c r="I120">
        <f t="shared" si="181"/>
        <v>88</v>
      </c>
      <c r="J120">
        <f t="shared" si="113"/>
        <v>360448</v>
      </c>
      <c r="K120">
        <f t="shared" si="197"/>
        <v>1</v>
      </c>
      <c r="L120" s="1">
        <f t="shared" si="198"/>
        <v>0</v>
      </c>
      <c r="M120" s="1">
        <f t="shared" si="199"/>
        <v>9.0906316583806823E-2</v>
      </c>
      <c r="N120">
        <f t="shared" si="200"/>
        <v>88</v>
      </c>
      <c r="O120">
        <f t="shared" si="154"/>
        <v>16384</v>
      </c>
      <c r="P120">
        <f t="shared" si="141"/>
        <v>0</v>
      </c>
      <c r="Q120">
        <f t="shared" si="201"/>
        <v>0</v>
      </c>
      <c r="S120">
        <f t="shared" si="75"/>
        <v>0</v>
      </c>
      <c r="AC120" s="1"/>
      <c r="AD120" s="1"/>
    </row>
    <row r="121" spans="2:36">
      <c r="D121">
        <f t="shared" ref="D121" si="206">I121/3</f>
        <v>32</v>
      </c>
      <c r="E121" s="1">
        <f t="shared" si="157"/>
        <v>1.5384615384615385E-2</v>
      </c>
      <c r="F121">
        <f t="shared" ref="F121" si="207">$E$16/I121</f>
        <v>42.65625</v>
      </c>
      <c r="G121">
        <f t="shared" si="196"/>
        <v>393216</v>
      </c>
      <c r="H121">
        <f t="shared" si="132"/>
        <v>32768</v>
      </c>
      <c r="I121">
        <f t="shared" si="181"/>
        <v>96</v>
      </c>
      <c r="J121">
        <f t="shared" si="113"/>
        <v>393216</v>
      </c>
      <c r="K121">
        <f t="shared" si="197"/>
        <v>1</v>
      </c>
      <c r="L121" s="1">
        <f t="shared" si="198"/>
        <v>0</v>
      </c>
      <c r="M121" s="1">
        <f t="shared" si="199"/>
        <v>8.3330790201822921E-2</v>
      </c>
      <c r="N121">
        <f t="shared" si="200"/>
        <v>96</v>
      </c>
      <c r="O121">
        <f t="shared" si="154"/>
        <v>65536</v>
      </c>
      <c r="P121">
        <f t="shared" si="141"/>
        <v>0</v>
      </c>
      <c r="Q121">
        <f t="shared" si="201"/>
        <v>0</v>
      </c>
      <c r="S121">
        <f t="shared" si="75"/>
        <v>0</v>
      </c>
      <c r="AC121" s="1"/>
      <c r="AD121" s="1"/>
    </row>
    <row r="122" spans="2:36">
      <c r="D122">
        <f t="shared" ref="D122" si="208">I122/13</f>
        <v>8</v>
      </c>
      <c r="E122" s="1">
        <f t="shared" si="157"/>
        <v>9.5238095238095247E-3</v>
      </c>
      <c r="F122">
        <f t="shared" ref="F122" si="209">$E$21/I122</f>
        <v>39.375</v>
      </c>
      <c r="G122">
        <f t="shared" si="196"/>
        <v>425984</v>
      </c>
      <c r="H122">
        <f t="shared" si="132"/>
        <v>32768</v>
      </c>
      <c r="I122">
        <f t="shared" si="181"/>
        <v>104</v>
      </c>
      <c r="J122">
        <f t="shared" si="113"/>
        <v>425984</v>
      </c>
      <c r="K122">
        <f t="shared" si="197"/>
        <v>1</v>
      </c>
      <c r="L122" s="1">
        <f t="shared" si="198"/>
        <v>0</v>
      </c>
      <c r="M122" s="1">
        <f t="shared" si="199"/>
        <v>7.6920729417067304E-2</v>
      </c>
      <c r="N122">
        <f t="shared" si="200"/>
        <v>104</v>
      </c>
      <c r="O122">
        <f t="shared" si="154"/>
        <v>16384</v>
      </c>
      <c r="P122">
        <f t="shared" si="141"/>
        <v>0</v>
      </c>
      <c r="Q122">
        <f t="shared" si="201"/>
        <v>0</v>
      </c>
      <c r="S122">
        <f t="shared" si="75"/>
        <v>0</v>
      </c>
      <c r="AC122" s="1"/>
      <c r="AD122" s="1"/>
    </row>
    <row r="123" spans="2:36">
      <c r="D123">
        <f t="shared" ref="D123" si="210">I123/7</f>
        <v>16</v>
      </c>
      <c r="E123" s="1">
        <f t="shared" si="157"/>
        <v>1.5384615384615385E-2</v>
      </c>
      <c r="F123">
        <f t="shared" ref="F123" si="211">$E$18/I123</f>
        <v>36.5625</v>
      </c>
      <c r="G123">
        <f t="shared" si="196"/>
        <v>458752</v>
      </c>
      <c r="H123">
        <f t="shared" si="132"/>
        <v>32768</v>
      </c>
      <c r="I123">
        <f t="shared" si="181"/>
        <v>112</v>
      </c>
      <c r="J123">
        <f t="shared" si="113"/>
        <v>458752</v>
      </c>
      <c r="K123">
        <f t="shared" si="197"/>
        <v>1</v>
      </c>
      <c r="L123" s="1">
        <f t="shared" si="198"/>
        <v>0</v>
      </c>
      <c r="M123" s="1">
        <f t="shared" si="199"/>
        <v>7.14263916015625E-2</v>
      </c>
      <c r="N123">
        <f t="shared" si="200"/>
        <v>112</v>
      </c>
      <c r="O123">
        <f t="shared" si="154"/>
        <v>32768</v>
      </c>
      <c r="P123">
        <f t="shared" si="141"/>
        <v>0</v>
      </c>
      <c r="Q123">
        <f t="shared" si="201"/>
        <v>0</v>
      </c>
      <c r="S123">
        <f t="shared" si="75"/>
        <v>0</v>
      </c>
      <c r="AC123" s="1"/>
      <c r="AD123" s="1"/>
    </row>
    <row r="124" spans="2:36">
      <c r="C124" t="s">
        <v>4</v>
      </c>
      <c r="D124">
        <f t="shared" ref="D124" si="212">I124/15</f>
        <v>8</v>
      </c>
      <c r="E124" s="1">
        <f t="shared" si="157"/>
        <v>3.663003663003663E-3</v>
      </c>
      <c r="F124">
        <f t="shared" ref="F124" si="213">$E$22/I124</f>
        <v>34.125</v>
      </c>
      <c r="G124">
        <f t="shared" si="196"/>
        <v>491520</v>
      </c>
      <c r="H124">
        <f t="shared" si="132"/>
        <v>32768</v>
      </c>
      <c r="I124">
        <f t="shared" si="181"/>
        <v>120</v>
      </c>
      <c r="J124">
        <f t="shared" si="113"/>
        <v>491520</v>
      </c>
      <c r="K124">
        <f t="shared" si="197"/>
        <v>1</v>
      </c>
      <c r="L124" s="1">
        <f t="shared" si="198"/>
        <v>0</v>
      </c>
      <c r="M124" s="1">
        <f t="shared" si="199"/>
        <v>6.6664632161458334E-2</v>
      </c>
      <c r="N124">
        <f t="shared" si="200"/>
        <v>120</v>
      </c>
      <c r="O124">
        <f t="shared" si="154"/>
        <v>16384</v>
      </c>
      <c r="P124">
        <f t="shared" si="141"/>
        <v>0</v>
      </c>
      <c r="Q124">
        <f t="shared" si="201"/>
        <v>0</v>
      </c>
      <c r="S124">
        <f t="shared" si="75"/>
        <v>0</v>
      </c>
      <c r="AC124" s="1"/>
      <c r="AD124" s="1"/>
    </row>
    <row r="125" spans="2:36">
      <c r="B125">
        <f>4096*1024</f>
        <v>4194304</v>
      </c>
      <c r="C125" t="s">
        <v>5</v>
      </c>
      <c r="D125">
        <f t="shared" ref="D125:D188" si="214">I125/15</f>
        <v>8.5333333333333332</v>
      </c>
      <c r="E125" s="1">
        <f t="shared" ref="E125:E188" si="215">(F125 - FLOOR(F125,1))/F125</f>
        <v>3.1013431013431014E-2</v>
      </c>
      <c r="F125">
        <f t="shared" ref="F125:F188" si="216">$E$22/I125</f>
        <v>31.9921875</v>
      </c>
      <c r="G125">
        <f t="shared" si="196"/>
        <v>524288</v>
      </c>
      <c r="H125">
        <f t="shared" si="132"/>
        <v>32768</v>
      </c>
      <c r="I125">
        <f t="shared" si="181"/>
        <v>128</v>
      </c>
      <c r="J125">
        <f>B125*I125</f>
        <v>536870912</v>
      </c>
      <c r="K125">
        <f t="shared" ref="K125" si="217">FLOOR(J125/G125,1)</f>
        <v>1024</v>
      </c>
      <c r="L125" s="1">
        <f t="shared" ref="L125" si="218">(J125-K125*G125)/J125</f>
        <v>0</v>
      </c>
      <c r="M125" s="1">
        <f t="shared" ref="M125" si="219">(G125-(G124+1))/(G125)</f>
        <v>6.2498092651367188E-2</v>
      </c>
      <c r="N125">
        <f>J125/B125</f>
        <v>128</v>
      </c>
      <c r="O125">
        <f t="shared" si="154"/>
        <v>524288</v>
      </c>
      <c r="P125">
        <f t="shared" ref="P125" si="220">J125-G125*K125</f>
        <v>0</v>
      </c>
      <c r="Q125">
        <f t="shared" ref="Q125" si="221">P125/I125</f>
        <v>0</v>
      </c>
      <c r="S125">
        <f>FLOOR((G125 + (B125-1))/B125, 1)*B125 - G125</f>
        <v>3670016</v>
      </c>
    </row>
    <row r="126" spans="2:36">
      <c r="B126">
        <f>B125</f>
        <v>4194304</v>
      </c>
      <c r="D126">
        <f t="shared" si="214"/>
        <v>9.6</v>
      </c>
      <c r="E126" s="1">
        <f t="shared" si="215"/>
        <v>1.5384615384615385E-2</v>
      </c>
      <c r="F126">
        <f t="shared" si="216"/>
        <v>28.4375</v>
      </c>
      <c r="G126">
        <f t="shared" si="196"/>
        <v>589824</v>
      </c>
      <c r="H126">
        <f t="shared" ref="H126" si="222">H118*2</f>
        <v>65536</v>
      </c>
      <c r="I126">
        <f t="shared" si="181"/>
        <v>144</v>
      </c>
      <c r="J126">
        <f t="shared" ref="J126:J189" si="223">B126*I126</f>
        <v>603979776</v>
      </c>
      <c r="K126">
        <f t="shared" ref="K126:K189" si="224">FLOOR(J126/G126,1)</f>
        <v>1024</v>
      </c>
      <c r="L126" s="1">
        <f t="shared" ref="L126:L189" si="225">(J126-K126*G126)/J126</f>
        <v>0</v>
      </c>
      <c r="M126" s="1">
        <f t="shared" ref="M126:M189" si="226">(G126-(G125+1))/(G126)</f>
        <v>0.11110941569010417</v>
      </c>
      <c r="N126">
        <f t="shared" ref="N126:N189" si="227">J126/B126</f>
        <v>144</v>
      </c>
      <c r="O126">
        <f t="shared" si="154"/>
        <v>32768</v>
      </c>
      <c r="P126">
        <f t="shared" ref="P126:P189" si="228">J126-G126*K126</f>
        <v>0</v>
      </c>
      <c r="Q126">
        <f t="shared" ref="Q126:Q189" si="229">P126/I126</f>
        <v>0</v>
      </c>
      <c r="S126">
        <f t="shared" ref="S126:S189" si="230">FLOOR((G126 + (B126-1))/B126, 1)*B126 - G126</f>
        <v>3604480</v>
      </c>
    </row>
    <row r="127" spans="2:36">
      <c r="B127">
        <f t="shared" ref="B127:B190" si="231">B126</f>
        <v>4194304</v>
      </c>
      <c r="D127">
        <f t="shared" si="214"/>
        <v>10.666666666666666</v>
      </c>
      <c r="E127" s="1">
        <f t="shared" si="215"/>
        <v>2.31990231990232E-2</v>
      </c>
      <c r="F127">
        <f t="shared" si="216"/>
        <v>25.59375</v>
      </c>
      <c r="G127">
        <f t="shared" si="196"/>
        <v>655360</v>
      </c>
      <c r="H127">
        <f t="shared" si="132"/>
        <v>65536</v>
      </c>
      <c r="I127">
        <f t="shared" si="181"/>
        <v>160</v>
      </c>
      <c r="J127">
        <f t="shared" si="223"/>
        <v>671088640</v>
      </c>
      <c r="K127">
        <f t="shared" si="224"/>
        <v>1024</v>
      </c>
      <c r="L127" s="1">
        <f t="shared" si="225"/>
        <v>0</v>
      </c>
      <c r="M127" s="1">
        <f t="shared" si="226"/>
        <v>9.999847412109375E-2</v>
      </c>
      <c r="N127">
        <f t="shared" si="227"/>
        <v>160</v>
      </c>
      <c r="O127">
        <f t="shared" si="154"/>
        <v>65536</v>
      </c>
      <c r="P127">
        <f t="shared" si="228"/>
        <v>0</v>
      </c>
      <c r="Q127">
        <f t="shared" si="229"/>
        <v>0</v>
      </c>
      <c r="S127">
        <f t="shared" si="230"/>
        <v>3538944</v>
      </c>
    </row>
    <row r="128" spans="2:36">
      <c r="B128">
        <f t="shared" si="231"/>
        <v>4194304</v>
      </c>
      <c r="D128">
        <f t="shared" si="214"/>
        <v>11.733333333333333</v>
      </c>
      <c r="E128" s="1">
        <f t="shared" si="215"/>
        <v>1.1477411477411423E-2</v>
      </c>
      <c r="F128">
        <f t="shared" si="216"/>
        <v>23.267045454545453</v>
      </c>
      <c r="G128">
        <f t="shared" si="196"/>
        <v>720896</v>
      </c>
      <c r="H128">
        <f t="shared" si="132"/>
        <v>65536</v>
      </c>
      <c r="I128">
        <f t="shared" si="181"/>
        <v>176</v>
      </c>
      <c r="J128">
        <f t="shared" si="223"/>
        <v>738197504</v>
      </c>
      <c r="K128">
        <f t="shared" si="224"/>
        <v>1024</v>
      </c>
      <c r="L128" s="1">
        <f t="shared" si="225"/>
        <v>0</v>
      </c>
      <c r="M128" s="1">
        <f t="shared" si="226"/>
        <v>9.0907703746448867E-2</v>
      </c>
      <c r="N128">
        <f t="shared" si="227"/>
        <v>176</v>
      </c>
      <c r="O128">
        <f t="shared" si="154"/>
        <v>32768</v>
      </c>
      <c r="P128">
        <f t="shared" si="228"/>
        <v>0</v>
      </c>
      <c r="Q128">
        <f t="shared" si="229"/>
        <v>0</v>
      </c>
      <c r="S128">
        <f t="shared" si="230"/>
        <v>3473408</v>
      </c>
    </row>
    <row r="129" spans="2:19">
      <c r="B129">
        <f t="shared" si="231"/>
        <v>4194304</v>
      </c>
      <c r="D129">
        <f t="shared" si="214"/>
        <v>12.8</v>
      </c>
      <c r="E129" s="1">
        <f t="shared" si="215"/>
        <v>1.5384615384615385E-2</v>
      </c>
      <c r="F129">
        <f t="shared" si="216"/>
        <v>21.328125</v>
      </c>
      <c r="G129">
        <f t="shared" si="196"/>
        <v>786432</v>
      </c>
      <c r="H129">
        <f t="shared" si="132"/>
        <v>65536</v>
      </c>
      <c r="I129">
        <f t="shared" si="181"/>
        <v>192</v>
      </c>
      <c r="J129">
        <f t="shared" si="223"/>
        <v>805306368</v>
      </c>
      <c r="K129">
        <f t="shared" si="224"/>
        <v>1024</v>
      </c>
      <c r="L129" s="1">
        <f t="shared" si="225"/>
        <v>0</v>
      </c>
      <c r="M129" s="1">
        <f t="shared" si="226"/>
        <v>8.3332061767578125E-2</v>
      </c>
      <c r="N129">
        <f t="shared" si="227"/>
        <v>192</v>
      </c>
      <c r="O129">
        <f t="shared" si="154"/>
        <v>131072</v>
      </c>
      <c r="P129">
        <f t="shared" si="228"/>
        <v>0</v>
      </c>
      <c r="Q129">
        <f t="shared" si="229"/>
        <v>0</v>
      </c>
      <c r="S129">
        <f t="shared" si="230"/>
        <v>3407872</v>
      </c>
    </row>
    <row r="130" spans="2:19">
      <c r="B130">
        <f t="shared" si="231"/>
        <v>4194304</v>
      </c>
      <c r="D130">
        <f t="shared" si="214"/>
        <v>13.866666666666667</v>
      </c>
      <c r="E130" s="1">
        <f t="shared" si="215"/>
        <v>3.4920634920634921E-2</v>
      </c>
      <c r="F130">
        <f t="shared" si="216"/>
        <v>19.6875</v>
      </c>
      <c r="G130">
        <f t="shared" si="196"/>
        <v>851968</v>
      </c>
      <c r="H130">
        <f t="shared" si="132"/>
        <v>65536</v>
      </c>
      <c r="I130">
        <f t="shared" si="181"/>
        <v>208</v>
      </c>
      <c r="J130">
        <f t="shared" si="223"/>
        <v>872415232</v>
      </c>
      <c r="K130">
        <f t="shared" si="224"/>
        <v>1024</v>
      </c>
      <c r="L130" s="1">
        <f t="shared" si="225"/>
        <v>0</v>
      </c>
      <c r="M130" s="1">
        <f t="shared" si="226"/>
        <v>7.6921903170072109E-2</v>
      </c>
      <c r="N130">
        <f t="shared" si="227"/>
        <v>208</v>
      </c>
      <c r="O130">
        <f t="shared" si="154"/>
        <v>32768</v>
      </c>
      <c r="P130">
        <f t="shared" si="228"/>
        <v>0</v>
      </c>
      <c r="Q130">
        <f t="shared" si="229"/>
        <v>0</v>
      </c>
      <c r="S130">
        <f t="shared" si="230"/>
        <v>3342336</v>
      </c>
    </row>
    <row r="131" spans="2:19">
      <c r="B131">
        <f t="shared" si="231"/>
        <v>4194304</v>
      </c>
      <c r="D131">
        <f t="shared" si="214"/>
        <v>14.933333333333334</v>
      </c>
      <c r="E131" s="1">
        <f t="shared" si="215"/>
        <v>1.5384615384615385E-2</v>
      </c>
      <c r="F131">
        <f t="shared" si="216"/>
        <v>18.28125</v>
      </c>
      <c r="G131">
        <f t="shared" si="196"/>
        <v>917504</v>
      </c>
      <c r="H131">
        <f t="shared" si="132"/>
        <v>65536</v>
      </c>
      <c r="I131">
        <f t="shared" si="181"/>
        <v>224</v>
      </c>
      <c r="J131">
        <f t="shared" si="223"/>
        <v>939524096</v>
      </c>
      <c r="K131">
        <f t="shared" si="224"/>
        <v>1024</v>
      </c>
      <c r="L131" s="1">
        <f t="shared" si="225"/>
        <v>0</v>
      </c>
      <c r="M131" s="1">
        <f t="shared" si="226"/>
        <v>7.1427481515066962E-2</v>
      </c>
      <c r="N131">
        <f t="shared" si="227"/>
        <v>224</v>
      </c>
      <c r="O131">
        <f t="shared" si="154"/>
        <v>65536</v>
      </c>
      <c r="P131">
        <f t="shared" si="228"/>
        <v>0</v>
      </c>
      <c r="Q131">
        <f t="shared" si="229"/>
        <v>0</v>
      </c>
      <c r="S131">
        <f t="shared" si="230"/>
        <v>3276800</v>
      </c>
    </row>
    <row r="132" spans="2:19">
      <c r="B132">
        <f t="shared" si="231"/>
        <v>4194304</v>
      </c>
      <c r="D132">
        <f t="shared" si="214"/>
        <v>16</v>
      </c>
      <c r="E132" s="1">
        <f t="shared" si="215"/>
        <v>3.663003663003663E-3</v>
      </c>
      <c r="F132">
        <f t="shared" si="216"/>
        <v>17.0625</v>
      </c>
      <c r="G132">
        <f t="shared" si="196"/>
        <v>983040</v>
      </c>
      <c r="H132">
        <f t="shared" si="132"/>
        <v>65536</v>
      </c>
      <c r="I132">
        <f t="shared" si="181"/>
        <v>240</v>
      </c>
      <c r="J132">
        <f t="shared" si="223"/>
        <v>1006632960</v>
      </c>
      <c r="K132">
        <f t="shared" si="224"/>
        <v>1024</v>
      </c>
      <c r="L132" s="1">
        <f t="shared" si="225"/>
        <v>0</v>
      </c>
      <c r="M132" s="1">
        <f t="shared" si="226"/>
        <v>6.66656494140625E-2</v>
      </c>
      <c r="N132">
        <f t="shared" si="227"/>
        <v>240</v>
      </c>
      <c r="O132">
        <f t="shared" si="154"/>
        <v>32768</v>
      </c>
      <c r="P132">
        <f t="shared" si="228"/>
        <v>0</v>
      </c>
      <c r="Q132">
        <f t="shared" si="229"/>
        <v>0</v>
      </c>
      <c r="S132">
        <f t="shared" si="230"/>
        <v>3211264</v>
      </c>
    </row>
    <row r="133" spans="2:19">
      <c r="B133">
        <f t="shared" si="231"/>
        <v>4194304</v>
      </c>
      <c r="D133">
        <f t="shared" si="214"/>
        <v>17.066666666666666</v>
      </c>
      <c r="E133" s="1">
        <f t="shared" si="215"/>
        <v>6.2271062271062272E-2</v>
      </c>
      <c r="F133">
        <f t="shared" si="216"/>
        <v>15.99609375</v>
      </c>
      <c r="G133">
        <f t="shared" si="196"/>
        <v>1048576</v>
      </c>
      <c r="H133">
        <f t="shared" si="132"/>
        <v>65536</v>
      </c>
      <c r="I133">
        <f t="shared" si="181"/>
        <v>256</v>
      </c>
      <c r="J133">
        <f t="shared" si="223"/>
        <v>1073741824</v>
      </c>
      <c r="K133">
        <f t="shared" si="224"/>
        <v>1024</v>
      </c>
      <c r="L133" s="1">
        <f t="shared" si="225"/>
        <v>0</v>
      </c>
      <c r="M133" s="1">
        <f t="shared" si="226"/>
        <v>6.2499046325683594E-2</v>
      </c>
      <c r="N133">
        <f t="shared" si="227"/>
        <v>256</v>
      </c>
      <c r="O133">
        <f t="shared" si="154"/>
        <v>1048576</v>
      </c>
      <c r="P133">
        <f t="shared" si="228"/>
        <v>0</v>
      </c>
      <c r="Q133">
        <f t="shared" si="229"/>
        <v>0</v>
      </c>
      <c r="S133">
        <f t="shared" si="230"/>
        <v>3145728</v>
      </c>
    </row>
    <row r="134" spans="2:19">
      <c r="B134">
        <f t="shared" si="231"/>
        <v>4194304</v>
      </c>
      <c r="D134">
        <f t="shared" si="214"/>
        <v>19.2</v>
      </c>
      <c r="E134" s="1">
        <f t="shared" si="215"/>
        <v>1.5384615384615385E-2</v>
      </c>
      <c r="F134">
        <f t="shared" si="216"/>
        <v>14.21875</v>
      </c>
      <c r="G134">
        <f t="shared" si="196"/>
        <v>1179648</v>
      </c>
      <c r="H134">
        <f t="shared" ref="H134" si="232">H126*2</f>
        <v>131072</v>
      </c>
      <c r="I134">
        <f t="shared" si="181"/>
        <v>288</v>
      </c>
      <c r="J134">
        <f t="shared" si="223"/>
        <v>1207959552</v>
      </c>
      <c r="K134">
        <f t="shared" si="224"/>
        <v>1024</v>
      </c>
      <c r="L134" s="1">
        <f t="shared" si="225"/>
        <v>0</v>
      </c>
      <c r="M134" s="1">
        <f t="shared" si="226"/>
        <v>0.11111026340060765</v>
      </c>
      <c r="N134">
        <f t="shared" si="227"/>
        <v>288</v>
      </c>
      <c r="O134">
        <f t="shared" si="154"/>
        <v>65536</v>
      </c>
      <c r="P134">
        <f t="shared" si="228"/>
        <v>0</v>
      </c>
      <c r="Q134">
        <f t="shared" si="229"/>
        <v>0</v>
      </c>
      <c r="S134">
        <f t="shared" si="230"/>
        <v>3014656</v>
      </c>
    </row>
    <row r="135" spans="2:19">
      <c r="B135">
        <f t="shared" si="231"/>
        <v>4194304</v>
      </c>
      <c r="D135">
        <f t="shared" si="214"/>
        <v>21.333333333333332</v>
      </c>
      <c r="E135" s="1">
        <f t="shared" si="215"/>
        <v>6.2271062271062272E-2</v>
      </c>
      <c r="F135">
        <f t="shared" si="216"/>
        <v>12.796875</v>
      </c>
      <c r="G135">
        <f t="shared" si="196"/>
        <v>1310720</v>
      </c>
      <c r="H135">
        <f t="shared" si="132"/>
        <v>131072</v>
      </c>
      <c r="I135">
        <f t="shared" si="181"/>
        <v>320</v>
      </c>
      <c r="J135">
        <f t="shared" si="223"/>
        <v>1342177280</v>
      </c>
      <c r="K135">
        <f t="shared" si="224"/>
        <v>1024</v>
      </c>
      <c r="L135" s="1">
        <f t="shared" si="225"/>
        <v>0</v>
      </c>
      <c r="M135" s="1">
        <f t="shared" si="226"/>
        <v>9.9999237060546878E-2</v>
      </c>
      <c r="N135">
        <f t="shared" si="227"/>
        <v>320</v>
      </c>
      <c r="O135">
        <f t="shared" si="154"/>
        <v>131072</v>
      </c>
      <c r="P135">
        <f t="shared" si="228"/>
        <v>0</v>
      </c>
      <c r="Q135">
        <f t="shared" si="229"/>
        <v>0</v>
      </c>
      <c r="S135">
        <f t="shared" si="230"/>
        <v>2883584</v>
      </c>
    </row>
    <row r="136" spans="2:19">
      <c r="B136">
        <f t="shared" si="231"/>
        <v>4194304</v>
      </c>
      <c r="D136">
        <f t="shared" si="214"/>
        <v>23.466666666666665</v>
      </c>
      <c r="E136" s="1">
        <f t="shared" si="215"/>
        <v>5.4456654456654402E-2</v>
      </c>
      <c r="F136">
        <f t="shared" si="216"/>
        <v>11.633522727272727</v>
      </c>
      <c r="G136">
        <f t="shared" si="196"/>
        <v>1441792</v>
      </c>
      <c r="H136">
        <f t="shared" si="132"/>
        <v>131072</v>
      </c>
      <c r="I136">
        <f t="shared" si="181"/>
        <v>352</v>
      </c>
      <c r="J136">
        <f t="shared" si="223"/>
        <v>1476395008</v>
      </c>
      <c r="K136">
        <f t="shared" si="224"/>
        <v>1024</v>
      </c>
      <c r="L136" s="1">
        <f t="shared" si="225"/>
        <v>0</v>
      </c>
      <c r="M136" s="1">
        <f t="shared" si="226"/>
        <v>9.0908397327769883E-2</v>
      </c>
      <c r="N136">
        <f t="shared" si="227"/>
        <v>352</v>
      </c>
      <c r="O136">
        <f t="shared" si="154"/>
        <v>65536</v>
      </c>
      <c r="P136">
        <f t="shared" si="228"/>
        <v>0</v>
      </c>
      <c r="Q136">
        <f t="shared" si="229"/>
        <v>0</v>
      </c>
      <c r="S136">
        <f t="shared" si="230"/>
        <v>2752512</v>
      </c>
    </row>
    <row r="137" spans="2:19">
      <c r="B137">
        <f t="shared" si="231"/>
        <v>4194304</v>
      </c>
      <c r="D137">
        <f t="shared" si="214"/>
        <v>25.6</v>
      </c>
      <c r="E137" s="1">
        <f t="shared" si="215"/>
        <v>6.2271062271062272E-2</v>
      </c>
      <c r="F137">
        <f t="shared" si="216"/>
        <v>10.6640625</v>
      </c>
      <c r="G137">
        <f t="shared" si="196"/>
        <v>1572864</v>
      </c>
      <c r="H137">
        <f t="shared" si="132"/>
        <v>131072</v>
      </c>
      <c r="I137">
        <f t="shared" si="181"/>
        <v>384</v>
      </c>
      <c r="J137">
        <f t="shared" si="223"/>
        <v>1610612736</v>
      </c>
      <c r="K137">
        <f t="shared" si="224"/>
        <v>1024</v>
      </c>
      <c r="L137" s="1">
        <f t="shared" si="225"/>
        <v>0</v>
      </c>
      <c r="M137" s="1">
        <f t="shared" si="226"/>
        <v>8.3332697550455734E-2</v>
      </c>
      <c r="N137">
        <f t="shared" si="227"/>
        <v>384</v>
      </c>
      <c r="O137">
        <f t="shared" si="154"/>
        <v>262144</v>
      </c>
      <c r="P137">
        <f t="shared" si="228"/>
        <v>0</v>
      </c>
      <c r="Q137">
        <f t="shared" si="229"/>
        <v>0</v>
      </c>
      <c r="S137">
        <f t="shared" si="230"/>
        <v>2621440</v>
      </c>
    </row>
    <row r="138" spans="2:19">
      <c r="B138">
        <f t="shared" si="231"/>
        <v>4194304</v>
      </c>
      <c r="D138">
        <f t="shared" si="214"/>
        <v>27.733333333333334</v>
      </c>
      <c r="E138" s="1">
        <f t="shared" si="215"/>
        <v>8.5714285714285715E-2</v>
      </c>
      <c r="F138">
        <f t="shared" si="216"/>
        <v>9.84375</v>
      </c>
      <c r="G138">
        <f t="shared" si="196"/>
        <v>1703936</v>
      </c>
      <c r="H138">
        <f t="shared" si="132"/>
        <v>131072</v>
      </c>
      <c r="I138">
        <f t="shared" si="181"/>
        <v>416</v>
      </c>
      <c r="J138">
        <f t="shared" si="223"/>
        <v>1744830464</v>
      </c>
      <c r="K138">
        <f t="shared" si="224"/>
        <v>1024</v>
      </c>
      <c r="L138" s="1">
        <f t="shared" si="225"/>
        <v>0</v>
      </c>
      <c r="M138" s="1">
        <f t="shared" si="226"/>
        <v>7.6922490046574518E-2</v>
      </c>
      <c r="N138">
        <f t="shared" si="227"/>
        <v>416</v>
      </c>
      <c r="O138">
        <f t="shared" si="154"/>
        <v>65536</v>
      </c>
      <c r="P138">
        <f t="shared" si="228"/>
        <v>0</v>
      </c>
      <c r="Q138">
        <f t="shared" si="229"/>
        <v>0</v>
      </c>
      <c r="S138">
        <f t="shared" si="230"/>
        <v>2490368</v>
      </c>
    </row>
    <row r="139" spans="2:19">
      <c r="B139">
        <f t="shared" si="231"/>
        <v>4194304</v>
      </c>
      <c r="D139">
        <f t="shared" si="214"/>
        <v>29.866666666666667</v>
      </c>
      <c r="E139" s="1">
        <f t="shared" si="215"/>
        <v>1.5384615384615385E-2</v>
      </c>
      <c r="F139">
        <f t="shared" si="216"/>
        <v>9.140625</v>
      </c>
      <c r="G139">
        <f t="shared" si="196"/>
        <v>1835008</v>
      </c>
      <c r="H139">
        <f t="shared" si="132"/>
        <v>131072</v>
      </c>
      <c r="I139">
        <f t="shared" si="181"/>
        <v>448</v>
      </c>
      <c r="J139">
        <f t="shared" si="223"/>
        <v>1879048192</v>
      </c>
      <c r="K139">
        <f t="shared" si="224"/>
        <v>1024</v>
      </c>
      <c r="L139" s="1">
        <f t="shared" si="225"/>
        <v>0</v>
      </c>
      <c r="M139" s="1">
        <f t="shared" si="226"/>
        <v>7.14280264718192E-2</v>
      </c>
      <c r="N139">
        <f t="shared" si="227"/>
        <v>448</v>
      </c>
      <c r="O139">
        <f t="shared" si="154"/>
        <v>131072</v>
      </c>
      <c r="P139">
        <f t="shared" si="228"/>
        <v>0</v>
      </c>
      <c r="Q139">
        <f t="shared" si="229"/>
        <v>0</v>
      </c>
      <c r="S139">
        <f t="shared" si="230"/>
        <v>2359296</v>
      </c>
    </row>
    <row r="140" spans="2:19">
      <c r="B140">
        <f t="shared" si="231"/>
        <v>4194304</v>
      </c>
      <c r="D140">
        <f t="shared" si="214"/>
        <v>32</v>
      </c>
      <c r="E140" s="1">
        <f t="shared" si="215"/>
        <v>6.2271062271062272E-2</v>
      </c>
      <c r="F140">
        <f t="shared" si="216"/>
        <v>8.53125</v>
      </c>
      <c r="G140">
        <f t="shared" si="196"/>
        <v>1966080</v>
      </c>
      <c r="H140">
        <f t="shared" si="132"/>
        <v>131072</v>
      </c>
      <c r="I140">
        <f t="shared" si="181"/>
        <v>480</v>
      </c>
      <c r="J140">
        <f t="shared" si="223"/>
        <v>2013265920</v>
      </c>
      <c r="K140">
        <f t="shared" si="224"/>
        <v>1024</v>
      </c>
      <c r="L140" s="1">
        <f t="shared" si="225"/>
        <v>0</v>
      </c>
      <c r="M140" s="1">
        <f t="shared" si="226"/>
        <v>6.666615804036459E-2</v>
      </c>
      <c r="N140">
        <f t="shared" si="227"/>
        <v>480</v>
      </c>
      <c r="O140">
        <f t="shared" si="154"/>
        <v>65536</v>
      </c>
      <c r="P140">
        <f t="shared" si="228"/>
        <v>0</v>
      </c>
      <c r="Q140">
        <f t="shared" si="229"/>
        <v>0</v>
      </c>
      <c r="S140">
        <f t="shared" si="230"/>
        <v>2228224</v>
      </c>
    </row>
    <row r="141" spans="2:19">
      <c r="B141">
        <f t="shared" si="231"/>
        <v>4194304</v>
      </c>
      <c r="D141">
        <f t="shared" si="214"/>
        <v>34.133333333333333</v>
      </c>
      <c r="E141" s="1">
        <f t="shared" si="215"/>
        <v>0.12478632478632479</v>
      </c>
      <c r="F141">
        <f t="shared" si="216"/>
        <v>7.998046875</v>
      </c>
      <c r="G141">
        <f t="shared" si="196"/>
        <v>2097152</v>
      </c>
      <c r="H141">
        <f t="shared" si="132"/>
        <v>131072</v>
      </c>
      <c r="I141">
        <f t="shared" si="181"/>
        <v>512</v>
      </c>
      <c r="J141">
        <f t="shared" si="223"/>
        <v>2147483648</v>
      </c>
      <c r="K141">
        <f t="shared" si="224"/>
        <v>1024</v>
      </c>
      <c r="L141" s="1">
        <f t="shared" si="225"/>
        <v>0</v>
      </c>
      <c r="M141" s="1">
        <f t="shared" si="226"/>
        <v>6.2499523162841797E-2</v>
      </c>
      <c r="N141">
        <f t="shared" si="227"/>
        <v>512</v>
      </c>
      <c r="O141">
        <f t="shared" si="154"/>
        <v>2097152</v>
      </c>
      <c r="P141">
        <f t="shared" si="228"/>
        <v>0</v>
      </c>
      <c r="Q141">
        <f t="shared" si="229"/>
        <v>0</v>
      </c>
      <c r="S141">
        <f t="shared" si="230"/>
        <v>2097152</v>
      </c>
    </row>
    <row r="142" spans="2:19">
      <c r="B142">
        <f t="shared" si="231"/>
        <v>4194304</v>
      </c>
      <c r="D142">
        <f t="shared" si="214"/>
        <v>38.4</v>
      </c>
      <c r="E142" s="1">
        <f t="shared" si="215"/>
        <v>1.5384615384615385E-2</v>
      </c>
      <c r="F142">
        <f t="shared" si="216"/>
        <v>7.109375</v>
      </c>
      <c r="G142">
        <f t="shared" si="196"/>
        <v>2359296</v>
      </c>
      <c r="H142">
        <f t="shared" ref="H142" si="233">H134*2</f>
        <v>262144</v>
      </c>
      <c r="I142">
        <f t="shared" si="181"/>
        <v>576</v>
      </c>
      <c r="J142">
        <f t="shared" si="223"/>
        <v>2415919104</v>
      </c>
      <c r="K142">
        <f t="shared" si="224"/>
        <v>1024</v>
      </c>
      <c r="L142" s="1">
        <f t="shared" si="225"/>
        <v>0</v>
      </c>
      <c r="M142" s="1">
        <f t="shared" si="226"/>
        <v>0.11111068725585938</v>
      </c>
      <c r="N142">
        <f t="shared" si="227"/>
        <v>576</v>
      </c>
      <c r="O142">
        <f t="shared" si="154"/>
        <v>131072</v>
      </c>
      <c r="P142">
        <f t="shared" si="228"/>
        <v>0</v>
      </c>
      <c r="Q142">
        <f t="shared" si="229"/>
        <v>0</v>
      </c>
      <c r="S142">
        <f t="shared" si="230"/>
        <v>1835008</v>
      </c>
    </row>
    <row r="143" spans="2:19">
      <c r="B143">
        <f t="shared" si="231"/>
        <v>4194304</v>
      </c>
      <c r="D143">
        <f t="shared" si="214"/>
        <v>42.666666666666664</v>
      </c>
      <c r="E143" s="1">
        <f t="shared" si="215"/>
        <v>6.2271062271062272E-2</v>
      </c>
      <c r="F143">
        <f t="shared" si="216"/>
        <v>6.3984375</v>
      </c>
      <c r="G143">
        <f t="shared" si="196"/>
        <v>2621440</v>
      </c>
      <c r="H143">
        <f t="shared" si="132"/>
        <v>262144</v>
      </c>
      <c r="I143">
        <f t="shared" si="181"/>
        <v>640</v>
      </c>
      <c r="J143">
        <f t="shared" si="223"/>
        <v>2684354560</v>
      </c>
      <c r="K143">
        <f t="shared" si="224"/>
        <v>1024</v>
      </c>
      <c r="L143" s="1">
        <f t="shared" si="225"/>
        <v>0</v>
      </c>
      <c r="M143" s="1">
        <f t="shared" si="226"/>
        <v>9.9999618530273435E-2</v>
      </c>
      <c r="N143">
        <f t="shared" si="227"/>
        <v>640</v>
      </c>
      <c r="O143">
        <f t="shared" si="154"/>
        <v>262144</v>
      </c>
      <c r="P143">
        <f t="shared" si="228"/>
        <v>0</v>
      </c>
      <c r="Q143">
        <f t="shared" si="229"/>
        <v>0</v>
      </c>
      <c r="S143">
        <f t="shared" si="230"/>
        <v>1572864</v>
      </c>
    </row>
    <row r="144" spans="2:19">
      <c r="B144">
        <f t="shared" si="231"/>
        <v>4194304</v>
      </c>
      <c r="D144">
        <f t="shared" si="214"/>
        <v>46.93333333333333</v>
      </c>
      <c r="E144" s="1">
        <f t="shared" si="215"/>
        <v>0.14041514041514036</v>
      </c>
      <c r="F144">
        <f t="shared" si="216"/>
        <v>5.8167613636363633</v>
      </c>
      <c r="G144">
        <f t="shared" si="196"/>
        <v>2883584</v>
      </c>
      <c r="H144">
        <f t="shared" si="132"/>
        <v>262144</v>
      </c>
      <c r="I144">
        <f t="shared" si="181"/>
        <v>704</v>
      </c>
      <c r="J144">
        <f t="shared" si="223"/>
        <v>2952790016</v>
      </c>
      <c r="K144">
        <f t="shared" si="224"/>
        <v>1024</v>
      </c>
      <c r="L144" s="1">
        <f t="shared" si="225"/>
        <v>0</v>
      </c>
      <c r="M144" s="1">
        <f t="shared" si="226"/>
        <v>9.0908744118430404E-2</v>
      </c>
      <c r="N144">
        <f t="shared" si="227"/>
        <v>704</v>
      </c>
      <c r="O144">
        <f t="shared" si="154"/>
        <v>131072</v>
      </c>
      <c r="P144">
        <f t="shared" si="228"/>
        <v>0</v>
      </c>
      <c r="Q144">
        <f t="shared" si="229"/>
        <v>0</v>
      </c>
      <c r="S144">
        <f t="shared" si="230"/>
        <v>1310720</v>
      </c>
    </row>
    <row r="145" spans="2:19">
      <c r="B145">
        <f t="shared" si="231"/>
        <v>4194304</v>
      </c>
      <c r="D145">
        <f t="shared" si="214"/>
        <v>51.2</v>
      </c>
      <c r="E145" s="1">
        <f t="shared" si="215"/>
        <v>6.2271062271062272E-2</v>
      </c>
      <c r="F145">
        <f t="shared" si="216"/>
        <v>5.33203125</v>
      </c>
      <c r="G145">
        <f t="shared" si="196"/>
        <v>3145728</v>
      </c>
      <c r="H145">
        <f t="shared" si="132"/>
        <v>262144</v>
      </c>
      <c r="I145">
        <f t="shared" si="181"/>
        <v>768</v>
      </c>
      <c r="J145">
        <f t="shared" si="223"/>
        <v>3221225472</v>
      </c>
      <c r="K145">
        <f t="shared" si="224"/>
        <v>1024</v>
      </c>
      <c r="L145" s="1">
        <f t="shared" si="225"/>
        <v>0</v>
      </c>
      <c r="M145" s="1">
        <f t="shared" si="226"/>
        <v>8.3333015441894531E-2</v>
      </c>
      <c r="N145">
        <f t="shared" si="227"/>
        <v>768</v>
      </c>
      <c r="O145">
        <f t="shared" si="154"/>
        <v>524288</v>
      </c>
      <c r="P145">
        <f t="shared" si="228"/>
        <v>0</v>
      </c>
      <c r="Q145">
        <f t="shared" si="229"/>
        <v>0</v>
      </c>
      <c r="S145">
        <f t="shared" si="230"/>
        <v>1048576</v>
      </c>
    </row>
    <row r="146" spans="2:19">
      <c r="B146">
        <f t="shared" si="231"/>
        <v>4194304</v>
      </c>
      <c r="D146">
        <f t="shared" si="214"/>
        <v>55.466666666666669</v>
      </c>
      <c r="E146" s="1">
        <f t="shared" si="215"/>
        <v>0.1873015873015873</v>
      </c>
      <c r="F146">
        <f t="shared" si="216"/>
        <v>4.921875</v>
      </c>
      <c r="G146">
        <f t="shared" si="196"/>
        <v>3407872</v>
      </c>
      <c r="H146">
        <f t="shared" si="132"/>
        <v>262144</v>
      </c>
      <c r="I146">
        <f t="shared" si="181"/>
        <v>832</v>
      </c>
      <c r="J146">
        <f t="shared" si="223"/>
        <v>3489660928</v>
      </c>
      <c r="K146">
        <f t="shared" si="224"/>
        <v>1024</v>
      </c>
      <c r="L146" s="1">
        <f t="shared" si="225"/>
        <v>0</v>
      </c>
      <c r="M146" s="1">
        <f t="shared" si="226"/>
        <v>7.6922783484825716E-2</v>
      </c>
      <c r="N146">
        <f t="shared" si="227"/>
        <v>832</v>
      </c>
      <c r="O146">
        <f t="shared" si="154"/>
        <v>131072</v>
      </c>
      <c r="P146">
        <f t="shared" si="228"/>
        <v>0</v>
      </c>
      <c r="Q146">
        <f t="shared" si="229"/>
        <v>0</v>
      </c>
      <c r="S146">
        <f t="shared" si="230"/>
        <v>786432</v>
      </c>
    </row>
    <row r="147" spans="2:19">
      <c r="B147">
        <f t="shared" si="231"/>
        <v>4194304</v>
      </c>
      <c r="D147">
        <f t="shared" si="214"/>
        <v>59.733333333333334</v>
      </c>
      <c r="E147" s="1">
        <f t="shared" si="215"/>
        <v>0.12478632478632479</v>
      </c>
      <c r="F147">
        <f t="shared" si="216"/>
        <v>4.5703125</v>
      </c>
      <c r="G147">
        <f t="shared" si="196"/>
        <v>3670016</v>
      </c>
      <c r="H147">
        <f t="shared" si="132"/>
        <v>262144</v>
      </c>
      <c r="I147">
        <f t="shared" si="181"/>
        <v>896</v>
      </c>
      <c r="J147">
        <f t="shared" si="223"/>
        <v>3758096384</v>
      </c>
      <c r="K147">
        <f t="shared" si="224"/>
        <v>1024</v>
      </c>
      <c r="L147" s="1">
        <f t="shared" si="225"/>
        <v>0</v>
      </c>
      <c r="M147" s="1">
        <f t="shared" si="226"/>
        <v>7.1428298950195312E-2</v>
      </c>
      <c r="N147">
        <f t="shared" si="227"/>
        <v>896</v>
      </c>
      <c r="O147">
        <f t="shared" si="154"/>
        <v>262144</v>
      </c>
      <c r="P147">
        <f t="shared" si="228"/>
        <v>0</v>
      </c>
      <c r="Q147">
        <f t="shared" si="229"/>
        <v>0</v>
      </c>
      <c r="S147">
        <f t="shared" si="230"/>
        <v>524288</v>
      </c>
    </row>
    <row r="148" spans="2:19">
      <c r="B148">
        <f t="shared" si="231"/>
        <v>4194304</v>
      </c>
      <c r="D148">
        <f t="shared" si="214"/>
        <v>64</v>
      </c>
      <c r="E148" s="1">
        <f t="shared" si="215"/>
        <v>6.2271062271062272E-2</v>
      </c>
      <c r="F148">
        <f t="shared" si="216"/>
        <v>4.265625</v>
      </c>
      <c r="G148">
        <f t="shared" si="196"/>
        <v>3932160</v>
      </c>
      <c r="H148">
        <f t="shared" si="132"/>
        <v>262144</v>
      </c>
      <c r="I148">
        <f t="shared" si="181"/>
        <v>960</v>
      </c>
      <c r="J148">
        <f t="shared" si="223"/>
        <v>4026531840</v>
      </c>
      <c r="K148">
        <f t="shared" si="224"/>
        <v>1024</v>
      </c>
      <c r="L148" s="1">
        <f t="shared" si="225"/>
        <v>0</v>
      </c>
      <c r="M148" s="1">
        <f t="shared" si="226"/>
        <v>6.6666412353515628E-2</v>
      </c>
      <c r="N148">
        <f t="shared" si="227"/>
        <v>960</v>
      </c>
      <c r="O148">
        <f t="shared" si="154"/>
        <v>131072</v>
      </c>
      <c r="P148">
        <f t="shared" si="228"/>
        <v>0</v>
      </c>
      <c r="Q148">
        <f t="shared" si="229"/>
        <v>0</v>
      </c>
      <c r="S148">
        <f t="shared" si="230"/>
        <v>262144</v>
      </c>
    </row>
    <row r="149" spans="2:19">
      <c r="B149">
        <f t="shared" si="231"/>
        <v>4194304</v>
      </c>
      <c r="D149">
        <f t="shared" si="214"/>
        <v>68.266666666666666</v>
      </c>
      <c r="E149" s="1">
        <f t="shared" si="215"/>
        <v>0.24981684981684982</v>
      </c>
      <c r="F149">
        <f t="shared" si="216"/>
        <v>3.9990234375</v>
      </c>
      <c r="G149">
        <f t="shared" si="196"/>
        <v>4194304</v>
      </c>
      <c r="H149">
        <f t="shared" si="132"/>
        <v>262144</v>
      </c>
      <c r="I149">
        <f t="shared" si="181"/>
        <v>1024</v>
      </c>
      <c r="J149">
        <f t="shared" si="223"/>
        <v>4294967296</v>
      </c>
      <c r="K149">
        <f t="shared" si="224"/>
        <v>1024</v>
      </c>
      <c r="L149" s="1">
        <f t="shared" si="225"/>
        <v>0</v>
      </c>
      <c r="M149" s="1">
        <f t="shared" si="226"/>
        <v>6.2499761581420898E-2</v>
      </c>
      <c r="N149">
        <f t="shared" si="227"/>
        <v>1024</v>
      </c>
      <c r="O149">
        <f t="shared" si="154"/>
        <v>4194304</v>
      </c>
      <c r="P149">
        <f t="shared" si="228"/>
        <v>0</v>
      </c>
      <c r="Q149">
        <f t="shared" si="229"/>
        <v>0</v>
      </c>
      <c r="S149">
        <f t="shared" si="230"/>
        <v>0</v>
      </c>
    </row>
    <row r="150" spans="2:19">
      <c r="B150">
        <f t="shared" si="231"/>
        <v>4194304</v>
      </c>
      <c r="D150">
        <f t="shared" si="214"/>
        <v>76.8</v>
      </c>
      <c r="E150" s="1">
        <f t="shared" si="215"/>
        <v>0.15604395604395604</v>
      </c>
      <c r="F150">
        <f t="shared" si="216"/>
        <v>3.5546875</v>
      </c>
      <c r="G150">
        <f t="shared" si="196"/>
        <v>4718592</v>
      </c>
      <c r="H150">
        <f t="shared" ref="H150" si="234">H142*2</f>
        <v>524288</v>
      </c>
      <c r="I150">
        <f t="shared" si="181"/>
        <v>1152</v>
      </c>
      <c r="J150">
        <f t="shared" si="223"/>
        <v>4831838208</v>
      </c>
      <c r="K150">
        <f t="shared" si="224"/>
        <v>1024</v>
      </c>
      <c r="L150" s="1">
        <f t="shared" si="225"/>
        <v>0</v>
      </c>
      <c r="M150" s="1">
        <f t="shared" si="226"/>
        <v>0.11111089918348524</v>
      </c>
      <c r="N150">
        <f t="shared" si="227"/>
        <v>1152</v>
      </c>
      <c r="O150">
        <f t="shared" si="154"/>
        <v>262144</v>
      </c>
      <c r="P150">
        <f t="shared" si="228"/>
        <v>0</v>
      </c>
      <c r="Q150">
        <f t="shared" si="229"/>
        <v>0</v>
      </c>
      <c r="S150">
        <f t="shared" si="230"/>
        <v>3670016</v>
      </c>
    </row>
    <row r="151" spans="2:19">
      <c r="B151">
        <f t="shared" si="231"/>
        <v>4194304</v>
      </c>
      <c r="D151">
        <f t="shared" si="214"/>
        <v>85.333333333333329</v>
      </c>
      <c r="E151" s="1">
        <f t="shared" si="215"/>
        <v>6.2271062271062272E-2</v>
      </c>
      <c r="F151">
        <f t="shared" si="216"/>
        <v>3.19921875</v>
      </c>
      <c r="G151">
        <f t="shared" si="196"/>
        <v>5242880</v>
      </c>
      <c r="H151">
        <f t="shared" si="132"/>
        <v>524288</v>
      </c>
      <c r="I151">
        <f t="shared" si="181"/>
        <v>1280</v>
      </c>
      <c r="J151">
        <f t="shared" si="223"/>
        <v>5368709120</v>
      </c>
      <c r="K151">
        <f t="shared" si="224"/>
        <v>1024</v>
      </c>
      <c r="L151" s="1">
        <f t="shared" si="225"/>
        <v>0</v>
      </c>
      <c r="M151" s="1">
        <f t="shared" si="226"/>
        <v>9.9999809265136713E-2</v>
      </c>
      <c r="N151">
        <f t="shared" si="227"/>
        <v>1280</v>
      </c>
      <c r="O151">
        <f t="shared" si="154"/>
        <v>524288</v>
      </c>
      <c r="P151">
        <f t="shared" si="228"/>
        <v>0</v>
      </c>
      <c r="Q151">
        <f t="shared" si="229"/>
        <v>0</v>
      </c>
      <c r="S151">
        <f t="shared" si="230"/>
        <v>3145728</v>
      </c>
    </row>
    <row r="152" spans="2:19">
      <c r="B152">
        <f t="shared" si="231"/>
        <v>4194304</v>
      </c>
      <c r="D152">
        <f t="shared" si="214"/>
        <v>93.86666666666666</v>
      </c>
      <c r="E152" s="1">
        <f t="shared" si="215"/>
        <v>0.31233211233211228</v>
      </c>
      <c r="F152">
        <f t="shared" si="216"/>
        <v>2.9083806818181817</v>
      </c>
      <c r="G152">
        <f t="shared" si="196"/>
        <v>5767168</v>
      </c>
      <c r="H152">
        <f t="shared" si="132"/>
        <v>524288</v>
      </c>
      <c r="I152">
        <f t="shared" si="181"/>
        <v>1408</v>
      </c>
      <c r="J152">
        <f t="shared" si="223"/>
        <v>5905580032</v>
      </c>
      <c r="K152">
        <f t="shared" si="224"/>
        <v>1024</v>
      </c>
      <c r="L152" s="1">
        <f t="shared" si="225"/>
        <v>0</v>
      </c>
      <c r="M152" s="1">
        <f t="shared" si="226"/>
        <v>9.0908917513760651E-2</v>
      </c>
      <c r="N152">
        <f t="shared" si="227"/>
        <v>1408</v>
      </c>
      <c r="O152">
        <f t="shared" si="154"/>
        <v>262144</v>
      </c>
      <c r="P152">
        <f t="shared" si="228"/>
        <v>0</v>
      </c>
      <c r="Q152">
        <f t="shared" si="229"/>
        <v>0</v>
      </c>
      <c r="S152">
        <f t="shared" si="230"/>
        <v>2621440</v>
      </c>
    </row>
    <row r="153" spans="2:19">
      <c r="B153">
        <f t="shared" si="231"/>
        <v>4194304</v>
      </c>
      <c r="D153">
        <f t="shared" si="214"/>
        <v>102.4</v>
      </c>
      <c r="E153" s="1">
        <f t="shared" si="215"/>
        <v>0.24981684981684982</v>
      </c>
      <c r="F153">
        <f t="shared" si="216"/>
        <v>2.666015625</v>
      </c>
      <c r="G153">
        <f t="shared" si="196"/>
        <v>6291456</v>
      </c>
      <c r="H153">
        <f t="shared" si="132"/>
        <v>524288</v>
      </c>
      <c r="I153">
        <f t="shared" si="181"/>
        <v>1536</v>
      </c>
      <c r="J153">
        <f t="shared" si="223"/>
        <v>6442450944</v>
      </c>
      <c r="K153">
        <f t="shared" si="224"/>
        <v>1024</v>
      </c>
      <c r="L153" s="1">
        <f t="shared" si="225"/>
        <v>0</v>
      </c>
      <c r="M153" s="1">
        <f t="shared" si="226"/>
        <v>8.3333174387613937E-2</v>
      </c>
      <c r="N153">
        <f t="shared" si="227"/>
        <v>1536</v>
      </c>
      <c r="O153">
        <f t="shared" si="154"/>
        <v>1048576</v>
      </c>
      <c r="P153">
        <f t="shared" si="228"/>
        <v>0</v>
      </c>
      <c r="Q153">
        <f t="shared" si="229"/>
        <v>0</v>
      </c>
      <c r="S153">
        <f t="shared" si="230"/>
        <v>2097152</v>
      </c>
    </row>
    <row r="154" spans="2:19">
      <c r="B154">
        <f t="shared" si="231"/>
        <v>4194304</v>
      </c>
      <c r="D154">
        <f t="shared" si="214"/>
        <v>110.93333333333334</v>
      </c>
      <c r="E154" s="1">
        <f t="shared" si="215"/>
        <v>0.1873015873015873</v>
      </c>
      <c r="F154">
        <f t="shared" si="216"/>
        <v>2.4609375</v>
      </c>
      <c r="G154">
        <f t="shared" si="196"/>
        <v>6815744</v>
      </c>
      <c r="H154">
        <f t="shared" si="132"/>
        <v>524288</v>
      </c>
      <c r="I154">
        <f t="shared" si="181"/>
        <v>1664</v>
      </c>
      <c r="J154">
        <f t="shared" si="223"/>
        <v>6979321856</v>
      </c>
      <c r="K154">
        <f t="shared" si="224"/>
        <v>1024</v>
      </c>
      <c r="L154" s="1">
        <f t="shared" si="225"/>
        <v>0</v>
      </c>
      <c r="M154" s="1">
        <f t="shared" si="226"/>
        <v>7.6922930203951329E-2</v>
      </c>
      <c r="N154">
        <f t="shared" si="227"/>
        <v>1664</v>
      </c>
      <c r="O154">
        <f t="shared" si="154"/>
        <v>262144</v>
      </c>
      <c r="P154">
        <f t="shared" si="228"/>
        <v>0</v>
      </c>
      <c r="Q154">
        <f t="shared" si="229"/>
        <v>0</v>
      </c>
      <c r="S154">
        <f t="shared" si="230"/>
        <v>1572864</v>
      </c>
    </row>
    <row r="155" spans="2:19">
      <c r="B155">
        <f t="shared" si="231"/>
        <v>4194304</v>
      </c>
      <c r="D155">
        <f t="shared" si="214"/>
        <v>119.46666666666667</v>
      </c>
      <c r="E155" s="1">
        <f t="shared" si="215"/>
        <v>0.12478632478632479</v>
      </c>
      <c r="F155">
        <f t="shared" si="216"/>
        <v>2.28515625</v>
      </c>
      <c r="G155">
        <f t="shared" si="196"/>
        <v>7340032</v>
      </c>
      <c r="H155">
        <f t="shared" si="132"/>
        <v>524288</v>
      </c>
      <c r="I155">
        <f t="shared" si="181"/>
        <v>1792</v>
      </c>
      <c r="J155">
        <f t="shared" si="223"/>
        <v>7516192768</v>
      </c>
      <c r="K155">
        <f t="shared" si="224"/>
        <v>1024</v>
      </c>
      <c r="L155" s="1">
        <f t="shared" si="225"/>
        <v>0</v>
      </c>
      <c r="M155" s="1">
        <f t="shared" si="226"/>
        <v>7.1428435189383369E-2</v>
      </c>
      <c r="N155">
        <f t="shared" si="227"/>
        <v>1792</v>
      </c>
      <c r="O155">
        <f t="shared" si="154"/>
        <v>524288</v>
      </c>
      <c r="P155">
        <f t="shared" si="228"/>
        <v>0</v>
      </c>
      <c r="Q155">
        <f t="shared" si="229"/>
        <v>0</v>
      </c>
      <c r="S155">
        <f t="shared" si="230"/>
        <v>1048576</v>
      </c>
    </row>
    <row r="156" spans="2:19">
      <c r="B156">
        <f t="shared" si="231"/>
        <v>4194304</v>
      </c>
      <c r="D156">
        <f t="shared" si="214"/>
        <v>128</v>
      </c>
      <c r="E156" s="1">
        <f t="shared" si="215"/>
        <v>6.2271062271062272E-2</v>
      </c>
      <c r="F156">
        <f t="shared" si="216"/>
        <v>2.1328125</v>
      </c>
      <c r="G156">
        <f t="shared" si="196"/>
        <v>7864320</v>
      </c>
      <c r="H156">
        <f t="shared" si="132"/>
        <v>524288</v>
      </c>
      <c r="I156">
        <f t="shared" si="181"/>
        <v>1920</v>
      </c>
      <c r="J156">
        <f t="shared" si="223"/>
        <v>8053063680</v>
      </c>
      <c r="K156">
        <f t="shared" si="224"/>
        <v>1024</v>
      </c>
      <c r="L156" s="1">
        <f t="shared" si="225"/>
        <v>0</v>
      </c>
      <c r="M156" s="1">
        <f t="shared" si="226"/>
        <v>6.6666539510091147E-2</v>
      </c>
      <c r="N156">
        <f t="shared" si="227"/>
        <v>1920</v>
      </c>
      <c r="O156">
        <f t="shared" si="154"/>
        <v>262144</v>
      </c>
      <c r="P156">
        <f t="shared" si="228"/>
        <v>0</v>
      </c>
      <c r="Q156">
        <f t="shared" si="229"/>
        <v>0</v>
      </c>
      <c r="S156">
        <f t="shared" si="230"/>
        <v>524288</v>
      </c>
    </row>
    <row r="157" spans="2:19">
      <c r="B157">
        <f t="shared" si="231"/>
        <v>4194304</v>
      </c>
      <c r="D157">
        <f t="shared" si="214"/>
        <v>136.53333333333333</v>
      </c>
      <c r="E157" s="1">
        <f t="shared" si="215"/>
        <v>0.49987789987789988</v>
      </c>
      <c r="F157">
        <f t="shared" si="216"/>
        <v>1.99951171875</v>
      </c>
      <c r="G157">
        <f t="shared" si="196"/>
        <v>8388608</v>
      </c>
      <c r="H157">
        <f t="shared" si="132"/>
        <v>524288</v>
      </c>
      <c r="I157">
        <f t="shared" si="181"/>
        <v>2048</v>
      </c>
      <c r="J157">
        <f t="shared" si="223"/>
        <v>8589934592</v>
      </c>
      <c r="K157">
        <f t="shared" si="224"/>
        <v>1024</v>
      </c>
      <c r="L157" s="1">
        <f t="shared" si="225"/>
        <v>0</v>
      </c>
      <c r="M157" s="1">
        <f t="shared" si="226"/>
        <v>6.2499880790710449E-2</v>
      </c>
      <c r="N157">
        <f t="shared" si="227"/>
        <v>2048</v>
      </c>
      <c r="O157">
        <f t="shared" si="154"/>
        <v>8388608</v>
      </c>
      <c r="P157">
        <f t="shared" si="228"/>
        <v>0</v>
      </c>
      <c r="Q157">
        <f t="shared" si="229"/>
        <v>0</v>
      </c>
      <c r="S157">
        <f t="shared" si="230"/>
        <v>0</v>
      </c>
    </row>
    <row r="158" spans="2:19">
      <c r="B158">
        <f t="shared" si="231"/>
        <v>4194304</v>
      </c>
      <c r="D158">
        <f t="shared" si="214"/>
        <v>153.6</v>
      </c>
      <c r="E158" s="1">
        <f t="shared" si="215"/>
        <v>0.43736263736263736</v>
      </c>
      <c r="F158">
        <f t="shared" si="216"/>
        <v>1.77734375</v>
      </c>
      <c r="G158">
        <f t="shared" si="196"/>
        <v>9437184</v>
      </c>
      <c r="H158">
        <f t="shared" ref="H158" si="235">H150*2</f>
        <v>1048576</v>
      </c>
      <c r="I158">
        <f t="shared" si="181"/>
        <v>2304</v>
      </c>
      <c r="J158">
        <f t="shared" si="223"/>
        <v>9663676416</v>
      </c>
      <c r="K158">
        <f t="shared" si="224"/>
        <v>1024</v>
      </c>
      <c r="L158" s="1">
        <f t="shared" si="225"/>
        <v>0</v>
      </c>
      <c r="M158" s="1">
        <f t="shared" si="226"/>
        <v>0.11111100514729817</v>
      </c>
      <c r="N158">
        <f t="shared" si="227"/>
        <v>2304</v>
      </c>
      <c r="O158">
        <f t="shared" si="154"/>
        <v>524288</v>
      </c>
      <c r="P158">
        <f t="shared" si="228"/>
        <v>0</v>
      </c>
      <c r="Q158">
        <f t="shared" si="229"/>
        <v>0</v>
      </c>
      <c r="S158">
        <f t="shared" si="230"/>
        <v>3145728</v>
      </c>
    </row>
    <row r="159" spans="2:19">
      <c r="B159">
        <f t="shared" si="231"/>
        <v>4194304</v>
      </c>
      <c r="D159">
        <f t="shared" si="214"/>
        <v>170.66666666666666</v>
      </c>
      <c r="E159" s="1">
        <f t="shared" si="215"/>
        <v>0.37484737484737485</v>
      </c>
      <c r="F159">
        <f t="shared" si="216"/>
        <v>1.599609375</v>
      </c>
      <c r="G159">
        <f t="shared" si="196"/>
        <v>10485760</v>
      </c>
      <c r="H159">
        <f t="shared" ref="H159:H221" si="236">H158</f>
        <v>1048576</v>
      </c>
      <c r="I159">
        <f t="shared" si="181"/>
        <v>2560</v>
      </c>
      <c r="J159">
        <f t="shared" si="223"/>
        <v>10737418240</v>
      </c>
      <c r="K159">
        <f t="shared" si="224"/>
        <v>1024</v>
      </c>
      <c r="L159" s="1">
        <f t="shared" si="225"/>
        <v>0</v>
      </c>
      <c r="M159" s="1">
        <f t="shared" si="226"/>
        <v>9.9999904632568359E-2</v>
      </c>
      <c r="N159">
        <f t="shared" si="227"/>
        <v>2560</v>
      </c>
      <c r="O159">
        <f t="shared" si="154"/>
        <v>1048576</v>
      </c>
      <c r="P159">
        <f t="shared" si="228"/>
        <v>0</v>
      </c>
      <c r="Q159">
        <f t="shared" si="229"/>
        <v>0</v>
      </c>
      <c r="S159">
        <f t="shared" si="230"/>
        <v>2097152</v>
      </c>
    </row>
    <row r="160" spans="2:19">
      <c r="B160">
        <f t="shared" si="231"/>
        <v>4194304</v>
      </c>
      <c r="D160">
        <f t="shared" si="214"/>
        <v>187.73333333333332</v>
      </c>
      <c r="E160" s="1">
        <f t="shared" si="215"/>
        <v>0.31233211233211228</v>
      </c>
      <c r="F160">
        <f t="shared" si="216"/>
        <v>1.4541903409090908</v>
      </c>
      <c r="G160">
        <f t="shared" si="196"/>
        <v>11534336</v>
      </c>
      <c r="H160">
        <f t="shared" si="236"/>
        <v>1048576</v>
      </c>
      <c r="I160">
        <f t="shared" si="181"/>
        <v>2816</v>
      </c>
      <c r="J160">
        <f t="shared" si="223"/>
        <v>11811160064</v>
      </c>
      <c r="K160">
        <f t="shared" si="224"/>
        <v>1024</v>
      </c>
      <c r="L160" s="1">
        <f t="shared" si="225"/>
        <v>0</v>
      </c>
      <c r="M160" s="1">
        <f t="shared" si="226"/>
        <v>9.0909004211425781E-2</v>
      </c>
      <c r="N160">
        <f t="shared" si="227"/>
        <v>2816</v>
      </c>
      <c r="O160">
        <f t="shared" si="154"/>
        <v>524288</v>
      </c>
      <c r="P160">
        <f t="shared" si="228"/>
        <v>0</v>
      </c>
      <c r="Q160">
        <f t="shared" si="229"/>
        <v>0</v>
      </c>
      <c r="S160">
        <f t="shared" si="230"/>
        <v>1048576</v>
      </c>
    </row>
    <row r="161" spans="2:19">
      <c r="B161">
        <f t="shared" si="231"/>
        <v>4194304</v>
      </c>
      <c r="D161">
        <f t="shared" si="214"/>
        <v>204.8</v>
      </c>
      <c r="E161" s="1">
        <f t="shared" si="215"/>
        <v>0.24981684981684982</v>
      </c>
      <c r="F161">
        <f t="shared" si="216"/>
        <v>1.3330078125</v>
      </c>
      <c r="G161">
        <f t="shared" si="196"/>
        <v>12582912</v>
      </c>
      <c r="H161">
        <f t="shared" si="236"/>
        <v>1048576</v>
      </c>
      <c r="I161">
        <f t="shared" si="181"/>
        <v>3072</v>
      </c>
      <c r="J161">
        <f t="shared" si="223"/>
        <v>12884901888</v>
      </c>
      <c r="K161">
        <f t="shared" si="224"/>
        <v>1024</v>
      </c>
      <c r="L161" s="1">
        <f t="shared" si="225"/>
        <v>0</v>
      </c>
      <c r="M161" s="1">
        <f t="shared" si="226"/>
        <v>8.3333253860473633E-2</v>
      </c>
      <c r="N161">
        <f t="shared" si="227"/>
        <v>3072</v>
      </c>
      <c r="O161">
        <f t="shared" si="154"/>
        <v>2097152</v>
      </c>
      <c r="P161">
        <f t="shared" si="228"/>
        <v>0</v>
      </c>
      <c r="Q161">
        <f t="shared" si="229"/>
        <v>0</v>
      </c>
      <c r="S161">
        <f t="shared" si="230"/>
        <v>0</v>
      </c>
    </row>
    <row r="162" spans="2:19">
      <c r="B162">
        <f t="shared" si="231"/>
        <v>4194304</v>
      </c>
      <c r="D162">
        <f t="shared" si="214"/>
        <v>221.86666666666667</v>
      </c>
      <c r="E162" s="1">
        <f t="shared" si="215"/>
        <v>0.1873015873015873</v>
      </c>
      <c r="F162">
        <f t="shared" si="216"/>
        <v>1.23046875</v>
      </c>
      <c r="G162">
        <f t="shared" si="196"/>
        <v>13631488</v>
      </c>
      <c r="H162">
        <f t="shared" si="236"/>
        <v>1048576</v>
      </c>
      <c r="I162">
        <f t="shared" si="181"/>
        <v>3328</v>
      </c>
      <c r="J162">
        <f t="shared" si="223"/>
        <v>13958643712</v>
      </c>
      <c r="K162">
        <f t="shared" si="224"/>
        <v>1024</v>
      </c>
      <c r="L162" s="1">
        <f t="shared" si="225"/>
        <v>0</v>
      </c>
      <c r="M162" s="1">
        <f t="shared" si="226"/>
        <v>7.6923003563514128E-2</v>
      </c>
      <c r="N162">
        <f t="shared" si="227"/>
        <v>3328</v>
      </c>
      <c r="O162">
        <f t="shared" si="154"/>
        <v>524288</v>
      </c>
      <c r="P162">
        <f t="shared" si="228"/>
        <v>0</v>
      </c>
      <c r="Q162">
        <f t="shared" si="229"/>
        <v>0</v>
      </c>
      <c r="S162">
        <f t="shared" si="230"/>
        <v>3145728</v>
      </c>
    </row>
    <row r="163" spans="2:19">
      <c r="B163">
        <f t="shared" si="231"/>
        <v>4194304</v>
      </c>
      <c r="D163">
        <f t="shared" si="214"/>
        <v>238.93333333333334</v>
      </c>
      <c r="E163" s="1">
        <f t="shared" si="215"/>
        <v>0.12478632478632479</v>
      </c>
      <c r="F163">
        <f t="shared" si="216"/>
        <v>1.142578125</v>
      </c>
      <c r="G163">
        <f t="shared" si="196"/>
        <v>14680064</v>
      </c>
      <c r="H163">
        <f t="shared" si="236"/>
        <v>1048576</v>
      </c>
      <c r="I163">
        <f t="shared" si="181"/>
        <v>3584</v>
      </c>
      <c r="J163">
        <f t="shared" si="223"/>
        <v>15032385536</v>
      </c>
      <c r="K163">
        <f t="shared" si="224"/>
        <v>1024</v>
      </c>
      <c r="L163" s="1">
        <f t="shared" si="225"/>
        <v>0</v>
      </c>
      <c r="M163" s="1">
        <f t="shared" si="226"/>
        <v>7.1428503308977404E-2</v>
      </c>
      <c r="N163">
        <f t="shared" si="227"/>
        <v>3584</v>
      </c>
      <c r="O163">
        <f t="shared" si="154"/>
        <v>1048576</v>
      </c>
      <c r="P163">
        <f t="shared" si="228"/>
        <v>0</v>
      </c>
      <c r="Q163">
        <f t="shared" si="229"/>
        <v>0</v>
      </c>
      <c r="S163">
        <f t="shared" si="230"/>
        <v>2097152</v>
      </c>
    </row>
    <row r="164" spans="2:19">
      <c r="B164">
        <f t="shared" si="231"/>
        <v>4194304</v>
      </c>
      <c r="D164">
        <f t="shared" si="214"/>
        <v>256</v>
      </c>
      <c r="E164" s="1">
        <f t="shared" si="215"/>
        <v>6.2271062271062272E-2</v>
      </c>
      <c r="F164">
        <f t="shared" si="216"/>
        <v>1.06640625</v>
      </c>
      <c r="G164">
        <f t="shared" si="196"/>
        <v>15728640</v>
      </c>
      <c r="H164">
        <f t="shared" si="236"/>
        <v>1048576</v>
      </c>
      <c r="I164">
        <f t="shared" si="181"/>
        <v>3840</v>
      </c>
      <c r="J164">
        <f t="shared" si="223"/>
        <v>16106127360</v>
      </c>
      <c r="K164">
        <f t="shared" si="224"/>
        <v>1024</v>
      </c>
      <c r="L164" s="1">
        <f t="shared" si="225"/>
        <v>0</v>
      </c>
      <c r="M164" s="1">
        <f t="shared" si="226"/>
        <v>6.6666603088378906E-2</v>
      </c>
      <c r="N164">
        <f t="shared" si="227"/>
        <v>3840</v>
      </c>
      <c r="O164">
        <f t="shared" si="154"/>
        <v>524288</v>
      </c>
      <c r="P164">
        <f t="shared" si="228"/>
        <v>0</v>
      </c>
      <c r="Q164">
        <f t="shared" si="229"/>
        <v>0</v>
      </c>
      <c r="S164">
        <f t="shared" si="230"/>
        <v>1048576</v>
      </c>
    </row>
    <row r="165" spans="2:19">
      <c r="B165">
        <f t="shared" si="231"/>
        <v>4194304</v>
      </c>
      <c r="D165">
        <f t="shared" si="214"/>
        <v>273.06666666666666</v>
      </c>
      <c r="E165" s="1">
        <f t="shared" si="215"/>
        <v>1</v>
      </c>
      <c r="F165">
        <f t="shared" si="216"/>
        <v>0.999755859375</v>
      </c>
      <c r="G165">
        <f t="shared" si="196"/>
        <v>16777216</v>
      </c>
      <c r="H165">
        <f t="shared" si="236"/>
        <v>1048576</v>
      </c>
      <c r="I165">
        <f t="shared" si="181"/>
        <v>4096</v>
      </c>
      <c r="J165">
        <f t="shared" si="223"/>
        <v>17179869184</v>
      </c>
      <c r="K165">
        <f t="shared" si="224"/>
        <v>1024</v>
      </c>
      <c r="L165" s="1">
        <f t="shared" si="225"/>
        <v>0</v>
      </c>
      <c r="M165" s="1">
        <f t="shared" si="226"/>
        <v>6.2499940395355225E-2</v>
      </c>
      <c r="N165">
        <f t="shared" si="227"/>
        <v>4096</v>
      </c>
      <c r="O165">
        <f t="shared" si="154"/>
        <v>16777216</v>
      </c>
      <c r="P165">
        <f t="shared" si="228"/>
        <v>0</v>
      </c>
      <c r="Q165">
        <f t="shared" si="229"/>
        <v>0</v>
      </c>
      <c r="S165">
        <f t="shared" si="230"/>
        <v>0</v>
      </c>
    </row>
    <row r="166" spans="2:19">
      <c r="B166">
        <f t="shared" si="231"/>
        <v>4194304</v>
      </c>
      <c r="D166">
        <f t="shared" si="214"/>
        <v>307.2</v>
      </c>
      <c r="E166" s="1">
        <f t="shared" si="215"/>
        <v>1</v>
      </c>
      <c r="F166">
        <f t="shared" si="216"/>
        <v>0.888671875</v>
      </c>
      <c r="G166">
        <f t="shared" si="196"/>
        <v>18874368</v>
      </c>
      <c r="H166">
        <f t="shared" ref="H166" si="237">H158*2</f>
        <v>2097152</v>
      </c>
      <c r="I166">
        <f t="shared" si="181"/>
        <v>4608</v>
      </c>
      <c r="J166">
        <f t="shared" si="223"/>
        <v>19327352832</v>
      </c>
      <c r="K166">
        <f t="shared" si="224"/>
        <v>1024</v>
      </c>
      <c r="L166" s="1">
        <f t="shared" si="225"/>
        <v>0</v>
      </c>
      <c r="M166" s="1">
        <f t="shared" si="226"/>
        <v>0.11111105812920465</v>
      </c>
      <c r="N166">
        <f t="shared" si="227"/>
        <v>4608</v>
      </c>
      <c r="O166">
        <f t="shared" ref="O166:O229" si="238">O158*2</f>
        <v>1048576</v>
      </c>
      <c r="P166">
        <f t="shared" si="228"/>
        <v>0</v>
      </c>
      <c r="Q166">
        <f t="shared" si="229"/>
        <v>0</v>
      </c>
      <c r="S166">
        <f t="shared" si="230"/>
        <v>2097152</v>
      </c>
    </row>
    <row r="167" spans="2:19">
      <c r="B167">
        <f t="shared" si="231"/>
        <v>4194304</v>
      </c>
      <c r="D167">
        <f t="shared" si="214"/>
        <v>341.33333333333331</v>
      </c>
      <c r="E167" s="1">
        <f t="shared" si="215"/>
        <v>1</v>
      </c>
      <c r="F167">
        <f t="shared" si="216"/>
        <v>0.7998046875</v>
      </c>
      <c r="G167">
        <f t="shared" si="196"/>
        <v>20971520</v>
      </c>
      <c r="H167">
        <f t="shared" si="236"/>
        <v>2097152</v>
      </c>
      <c r="I167">
        <f t="shared" si="181"/>
        <v>5120</v>
      </c>
      <c r="J167">
        <f t="shared" si="223"/>
        <v>21474836480</v>
      </c>
      <c r="K167">
        <f t="shared" si="224"/>
        <v>1024</v>
      </c>
      <c r="L167" s="1">
        <f t="shared" si="225"/>
        <v>0</v>
      </c>
      <c r="M167" s="1">
        <f t="shared" si="226"/>
        <v>9.9999952316284182E-2</v>
      </c>
      <c r="N167">
        <f t="shared" si="227"/>
        <v>5120</v>
      </c>
      <c r="O167">
        <f t="shared" si="238"/>
        <v>2097152</v>
      </c>
      <c r="P167">
        <f t="shared" si="228"/>
        <v>0</v>
      </c>
      <c r="Q167">
        <f t="shared" si="229"/>
        <v>0</v>
      </c>
      <c r="S167">
        <f t="shared" si="230"/>
        <v>0</v>
      </c>
    </row>
    <row r="168" spans="2:19">
      <c r="B168">
        <f t="shared" si="231"/>
        <v>4194304</v>
      </c>
      <c r="D168">
        <f t="shared" si="214"/>
        <v>375.46666666666664</v>
      </c>
      <c r="E168" s="1">
        <f t="shared" si="215"/>
        <v>1</v>
      </c>
      <c r="F168">
        <f t="shared" si="216"/>
        <v>0.72709517045454541</v>
      </c>
      <c r="G168">
        <f t="shared" si="196"/>
        <v>23068672</v>
      </c>
      <c r="H168">
        <f t="shared" si="236"/>
        <v>2097152</v>
      </c>
      <c r="I168">
        <f t="shared" si="181"/>
        <v>5632</v>
      </c>
      <c r="J168">
        <f t="shared" si="223"/>
        <v>23622320128</v>
      </c>
      <c r="K168">
        <f t="shared" si="224"/>
        <v>1024</v>
      </c>
      <c r="L168" s="1">
        <f t="shared" si="225"/>
        <v>0</v>
      </c>
      <c r="M168" s="1">
        <f t="shared" si="226"/>
        <v>9.0909047560258346E-2</v>
      </c>
      <c r="N168">
        <f t="shared" si="227"/>
        <v>5632</v>
      </c>
      <c r="O168">
        <f t="shared" si="238"/>
        <v>1048576</v>
      </c>
      <c r="P168">
        <f t="shared" si="228"/>
        <v>0</v>
      </c>
      <c r="Q168">
        <f t="shared" si="229"/>
        <v>0</v>
      </c>
      <c r="S168">
        <f t="shared" si="230"/>
        <v>2097152</v>
      </c>
    </row>
    <row r="169" spans="2:19">
      <c r="B169">
        <f t="shared" si="231"/>
        <v>4194304</v>
      </c>
      <c r="D169">
        <f t="shared" si="214"/>
        <v>409.6</v>
      </c>
      <c r="E169" s="1">
        <f t="shared" si="215"/>
        <v>1</v>
      </c>
      <c r="F169">
        <f t="shared" si="216"/>
        <v>0.66650390625</v>
      </c>
      <c r="G169">
        <f t="shared" si="196"/>
        <v>25165824</v>
      </c>
      <c r="H169">
        <f t="shared" si="236"/>
        <v>2097152</v>
      </c>
      <c r="I169">
        <f t="shared" si="181"/>
        <v>6144</v>
      </c>
      <c r="J169">
        <f t="shared" si="223"/>
        <v>25769803776</v>
      </c>
      <c r="K169">
        <f t="shared" si="224"/>
        <v>1024</v>
      </c>
      <c r="L169" s="1">
        <f t="shared" si="225"/>
        <v>0</v>
      </c>
      <c r="M169" s="1">
        <f t="shared" si="226"/>
        <v>8.3333293596903488E-2</v>
      </c>
      <c r="N169">
        <f t="shared" si="227"/>
        <v>6144</v>
      </c>
      <c r="O169">
        <f t="shared" si="238"/>
        <v>4194304</v>
      </c>
      <c r="P169">
        <f t="shared" si="228"/>
        <v>0</v>
      </c>
      <c r="Q169">
        <f t="shared" si="229"/>
        <v>0</v>
      </c>
      <c r="S169">
        <f t="shared" si="230"/>
        <v>0</v>
      </c>
    </row>
    <row r="170" spans="2:19">
      <c r="B170">
        <f t="shared" si="231"/>
        <v>4194304</v>
      </c>
      <c r="D170">
        <f t="shared" si="214"/>
        <v>443.73333333333335</v>
      </c>
      <c r="E170" s="1">
        <f t="shared" si="215"/>
        <v>1</v>
      </c>
      <c r="F170">
        <f t="shared" si="216"/>
        <v>0.615234375</v>
      </c>
      <c r="G170">
        <f t="shared" si="196"/>
        <v>27262976</v>
      </c>
      <c r="H170">
        <f t="shared" si="236"/>
        <v>2097152</v>
      </c>
      <c r="I170">
        <f t="shared" si="181"/>
        <v>6656</v>
      </c>
      <c r="J170">
        <f t="shared" si="223"/>
        <v>27917287424</v>
      </c>
      <c r="K170">
        <f t="shared" si="224"/>
        <v>1024</v>
      </c>
      <c r="L170" s="1">
        <f t="shared" si="225"/>
        <v>0</v>
      </c>
      <c r="M170" s="1">
        <f t="shared" si="226"/>
        <v>7.6923040243295521E-2</v>
      </c>
      <c r="N170">
        <f t="shared" si="227"/>
        <v>6656</v>
      </c>
      <c r="O170">
        <f t="shared" si="238"/>
        <v>1048576</v>
      </c>
      <c r="P170">
        <f t="shared" si="228"/>
        <v>0</v>
      </c>
      <c r="Q170">
        <f t="shared" si="229"/>
        <v>0</v>
      </c>
      <c r="S170">
        <f t="shared" si="230"/>
        <v>2097152</v>
      </c>
    </row>
    <row r="171" spans="2:19">
      <c r="B171">
        <f t="shared" si="231"/>
        <v>4194304</v>
      </c>
      <c r="D171">
        <f t="shared" si="214"/>
        <v>477.86666666666667</v>
      </c>
      <c r="E171" s="1">
        <f t="shared" si="215"/>
        <v>1</v>
      </c>
      <c r="F171">
        <f t="shared" si="216"/>
        <v>0.5712890625</v>
      </c>
      <c r="G171">
        <f t="shared" si="196"/>
        <v>29360128</v>
      </c>
      <c r="H171">
        <f t="shared" si="236"/>
        <v>2097152</v>
      </c>
      <c r="I171">
        <f t="shared" si="181"/>
        <v>7168</v>
      </c>
      <c r="J171">
        <f t="shared" si="223"/>
        <v>30064771072</v>
      </c>
      <c r="K171">
        <f t="shared" si="224"/>
        <v>1024</v>
      </c>
      <c r="L171" s="1">
        <f t="shared" si="225"/>
        <v>0</v>
      </c>
      <c r="M171" s="1">
        <f t="shared" si="226"/>
        <v>7.1428537368774414E-2</v>
      </c>
      <c r="N171">
        <f t="shared" si="227"/>
        <v>7168</v>
      </c>
      <c r="O171">
        <f t="shared" si="238"/>
        <v>2097152</v>
      </c>
      <c r="P171">
        <f t="shared" si="228"/>
        <v>0</v>
      </c>
      <c r="Q171">
        <f t="shared" si="229"/>
        <v>0</v>
      </c>
      <c r="S171">
        <f t="shared" si="230"/>
        <v>0</v>
      </c>
    </row>
    <row r="172" spans="2:19">
      <c r="B172">
        <f t="shared" si="231"/>
        <v>4194304</v>
      </c>
      <c r="D172">
        <f t="shared" si="214"/>
        <v>512</v>
      </c>
      <c r="E172" s="1">
        <f t="shared" si="215"/>
        <v>1</v>
      </c>
      <c r="F172">
        <f t="shared" si="216"/>
        <v>0.533203125</v>
      </c>
      <c r="G172">
        <f t="shared" si="196"/>
        <v>31457280</v>
      </c>
      <c r="H172">
        <f t="shared" si="236"/>
        <v>2097152</v>
      </c>
      <c r="I172">
        <f t="shared" si="181"/>
        <v>7680</v>
      </c>
      <c r="J172">
        <f t="shared" si="223"/>
        <v>32212254720</v>
      </c>
      <c r="K172">
        <f t="shared" si="224"/>
        <v>1024</v>
      </c>
      <c r="L172" s="1">
        <f t="shared" si="225"/>
        <v>0</v>
      </c>
      <c r="M172" s="1">
        <f t="shared" si="226"/>
        <v>6.6666634877522793E-2</v>
      </c>
      <c r="N172">
        <f t="shared" si="227"/>
        <v>7680</v>
      </c>
      <c r="O172">
        <f t="shared" si="238"/>
        <v>1048576</v>
      </c>
      <c r="P172">
        <f t="shared" si="228"/>
        <v>0</v>
      </c>
      <c r="Q172">
        <f t="shared" si="229"/>
        <v>0</v>
      </c>
      <c r="S172">
        <f t="shared" si="230"/>
        <v>2097152</v>
      </c>
    </row>
    <row r="173" spans="2:19">
      <c r="B173">
        <f t="shared" si="231"/>
        <v>4194304</v>
      </c>
      <c r="D173">
        <f t="shared" si="214"/>
        <v>546.13333333333333</v>
      </c>
      <c r="E173" s="1">
        <f t="shared" si="215"/>
        <v>1</v>
      </c>
      <c r="F173">
        <f t="shared" si="216"/>
        <v>0.4998779296875</v>
      </c>
      <c r="G173">
        <f t="shared" si="196"/>
        <v>33554432</v>
      </c>
      <c r="H173">
        <f t="shared" si="236"/>
        <v>2097152</v>
      </c>
      <c r="I173">
        <f t="shared" si="181"/>
        <v>8192</v>
      </c>
      <c r="J173">
        <f t="shared" si="223"/>
        <v>34359738368</v>
      </c>
      <c r="K173">
        <f t="shared" si="224"/>
        <v>1024</v>
      </c>
      <c r="L173" s="1">
        <f t="shared" si="225"/>
        <v>0</v>
      </c>
      <c r="M173" s="1">
        <f t="shared" si="226"/>
        <v>6.2499970197677612E-2</v>
      </c>
      <c r="N173">
        <f t="shared" si="227"/>
        <v>8192</v>
      </c>
      <c r="O173">
        <f t="shared" si="238"/>
        <v>33554432</v>
      </c>
      <c r="P173">
        <f t="shared" si="228"/>
        <v>0</v>
      </c>
      <c r="Q173">
        <f t="shared" si="229"/>
        <v>0</v>
      </c>
      <c r="S173">
        <f t="shared" si="230"/>
        <v>0</v>
      </c>
    </row>
    <row r="174" spans="2:19">
      <c r="B174">
        <f t="shared" si="231"/>
        <v>4194304</v>
      </c>
      <c r="D174">
        <f t="shared" si="214"/>
        <v>614.4</v>
      </c>
      <c r="E174" s="1">
        <f t="shared" si="215"/>
        <v>1</v>
      </c>
      <c r="F174">
        <f t="shared" si="216"/>
        <v>0.4443359375</v>
      </c>
      <c r="G174">
        <f t="shared" si="196"/>
        <v>37748736</v>
      </c>
      <c r="H174">
        <f t="shared" ref="H174" si="239">H166*2</f>
        <v>4194304</v>
      </c>
      <c r="I174">
        <f t="shared" si="181"/>
        <v>9216</v>
      </c>
      <c r="J174">
        <f t="shared" si="223"/>
        <v>38654705664</v>
      </c>
      <c r="K174">
        <f t="shared" si="224"/>
        <v>1024</v>
      </c>
      <c r="L174" s="1">
        <f t="shared" si="225"/>
        <v>0</v>
      </c>
      <c r="M174" s="1">
        <f t="shared" si="226"/>
        <v>0.11111108462015788</v>
      </c>
      <c r="N174">
        <f t="shared" si="227"/>
        <v>9216</v>
      </c>
      <c r="O174">
        <f t="shared" si="238"/>
        <v>2097152</v>
      </c>
      <c r="P174">
        <f t="shared" si="228"/>
        <v>0</v>
      </c>
      <c r="Q174">
        <f t="shared" si="229"/>
        <v>0</v>
      </c>
      <c r="S174">
        <f t="shared" si="230"/>
        <v>0</v>
      </c>
    </row>
    <row r="175" spans="2:19">
      <c r="B175">
        <f t="shared" si="231"/>
        <v>4194304</v>
      </c>
      <c r="D175">
        <f t="shared" si="214"/>
        <v>682.66666666666663</v>
      </c>
      <c r="E175" s="1">
        <f t="shared" si="215"/>
        <v>1</v>
      </c>
      <c r="F175">
        <f t="shared" si="216"/>
        <v>0.39990234375</v>
      </c>
      <c r="G175">
        <f t="shared" si="196"/>
        <v>41943040</v>
      </c>
      <c r="H175">
        <f t="shared" si="236"/>
        <v>4194304</v>
      </c>
      <c r="I175">
        <f t="shared" ref="I175:I238" si="240">I167*2</f>
        <v>10240</v>
      </c>
      <c r="J175">
        <f t="shared" si="223"/>
        <v>42949672960</v>
      </c>
      <c r="K175">
        <f t="shared" si="224"/>
        <v>1024</v>
      </c>
      <c r="L175" s="1">
        <f t="shared" si="225"/>
        <v>0</v>
      </c>
      <c r="M175" s="1">
        <f t="shared" si="226"/>
        <v>9.9999976158142087E-2</v>
      </c>
      <c r="N175">
        <f t="shared" si="227"/>
        <v>10240</v>
      </c>
      <c r="O175">
        <f t="shared" si="238"/>
        <v>4194304</v>
      </c>
      <c r="P175">
        <f t="shared" si="228"/>
        <v>0</v>
      </c>
      <c r="Q175">
        <f t="shared" si="229"/>
        <v>0</v>
      </c>
      <c r="S175">
        <f t="shared" si="230"/>
        <v>0</v>
      </c>
    </row>
    <row r="176" spans="2:19">
      <c r="B176">
        <f t="shared" si="231"/>
        <v>4194304</v>
      </c>
      <c r="D176">
        <f t="shared" si="214"/>
        <v>750.93333333333328</v>
      </c>
      <c r="E176" s="1">
        <f t="shared" si="215"/>
        <v>1</v>
      </c>
      <c r="F176">
        <f t="shared" si="216"/>
        <v>0.36354758522727271</v>
      </c>
      <c r="G176">
        <f t="shared" si="196"/>
        <v>46137344</v>
      </c>
      <c r="H176">
        <f t="shared" si="236"/>
        <v>4194304</v>
      </c>
      <c r="I176">
        <f t="shared" si="240"/>
        <v>11264</v>
      </c>
      <c r="J176">
        <f t="shared" si="223"/>
        <v>47244640256</v>
      </c>
      <c r="K176">
        <f t="shared" si="224"/>
        <v>1024</v>
      </c>
      <c r="L176" s="1">
        <f t="shared" si="225"/>
        <v>0</v>
      </c>
      <c r="M176" s="1">
        <f t="shared" si="226"/>
        <v>9.0909069234674622E-2</v>
      </c>
      <c r="N176">
        <f t="shared" si="227"/>
        <v>11264</v>
      </c>
      <c r="O176">
        <f t="shared" si="238"/>
        <v>2097152</v>
      </c>
      <c r="P176">
        <f t="shared" si="228"/>
        <v>0</v>
      </c>
      <c r="Q176">
        <f t="shared" si="229"/>
        <v>0</v>
      </c>
      <c r="S176">
        <f t="shared" si="230"/>
        <v>0</v>
      </c>
    </row>
    <row r="177" spans="2:19">
      <c r="B177">
        <f t="shared" si="231"/>
        <v>4194304</v>
      </c>
      <c r="D177">
        <f t="shared" si="214"/>
        <v>819.2</v>
      </c>
      <c r="E177" s="1">
        <f t="shared" si="215"/>
        <v>1</v>
      </c>
      <c r="F177">
        <f t="shared" si="216"/>
        <v>0.333251953125</v>
      </c>
      <c r="G177">
        <f t="shared" si="196"/>
        <v>50331648</v>
      </c>
      <c r="H177">
        <f t="shared" si="236"/>
        <v>4194304</v>
      </c>
      <c r="I177">
        <f t="shared" si="240"/>
        <v>12288</v>
      </c>
      <c r="J177">
        <f t="shared" si="223"/>
        <v>51539607552</v>
      </c>
      <c r="K177">
        <f t="shared" si="224"/>
        <v>1024</v>
      </c>
      <c r="L177" s="1">
        <f t="shared" si="225"/>
        <v>0</v>
      </c>
      <c r="M177" s="1">
        <f t="shared" si="226"/>
        <v>8.3333313465118408E-2</v>
      </c>
      <c r="N177">
        <f t="shared" si="227"/>
        <v>12288</v>
      </c>
      <c r="O177">
        <f t="shared" si="238"/>
        <v>8388608</v>
      </c>
      <c r="P177">
        <f t="shared" si="228"/>
        <v>0</v>
      </c>
      <c r="Q177">
        <f t="shared" si="229"/>
        <v>0</v>
      </c>
      <c r="S177">
        <f t="shared" si="230"/>
        <v>0</v>
      </c>
    </row>
    <row r="178" spans="2:19">
      <c r="B178">
        <f t="shared" si="231"/>
        <v>4194304</v>
      </c>
      <c r="D178">
        <f t="shared" si="214"/>
        <v>887.4666666666667</v>
      </c>
      <c r="E178" s="1">
        <f t="shared" si="215"/>
        <v>1</v>
      </c>
      <c r="F178">
        <f t="shared" si="216"/>
        <v>0.3076171875</v>
      </c>
      <c r="G178">
        <f t="shared" si="196"/>
        <v>54525952</v>
      </c>
      <c r="H178">
        <f t="shared" si="236"/>
        <v>4194304</v>
      </c>
      <c r="I178">
        <f t="shared" si="240"/>
        <v>13312</v>
      </c>
      <c r="J178">
        <f t="shared" si="223"/>
        <v>55834574848</v>
      </c>
      <c r="K178">
        <f t="shared" si="224"/>
        <v>1024</v>
      </c>
      <c r="L178" s="1">
        <f t="shared" si="225"/>
        <v>0</v>
      </c>
      <c r="M178" s="1">
        <f t="shared" si="226"/>
        <v>7.6923058583186224E-2</v>
      </c>
      <c r="N178">
        <f t="shared" si="227"/>
        <v>13312</v>
      </c>
      <c r="O178">
        <f t="shared" si="238"/>
        <v>2097152</v>
      </c>
      <c r="P178">
        <f t="shared" si="228"/>
        <v>0</v>
      </c>
      <c r="Q178">
        <f t="shared" si="229"/>
        <v>0</v>
      </c>
      <c r="S178">
        <f t="shared" si="230"/>
        <v>0</v>
      </c>
    </row>
    <row r="179" spans="2:19">
      <c r="B179">
        <f t="shared" si="231"/>
        <v>4194304</v>
      </c>
      <c r="D179">
        <f t="shared" si="214"/>
        <v>955.73333333333335</v>
      </c>
      <c r="E179" s="1">
        <f t="shared" si="215"/>
        <v>1</v>
      </c>
      <c r="F179">
        <f t="shared" si="216"/>
        <v>0.28564453125</v>
      </c>
      <c r="G179">
        <f t="shared" si="196"/>
        <v>58720256</v>
      </c>
      <c r="H179">
        <f t="shared" si="236"/>
        <v>4194304</v>
      </c>
      <c r="I179">
        <f t="shared" si="240"/>
        <v>14336</v>
      </c>
      <c r="J179">
        <f t="shared" si="223"/>
        <v>60129542144</v>
      </c>
      <c r="K179">
        <f t="shared" si="224"/>
        <v>1024</v>
      </c>
      <c r="L179" s="1">
        <f t="shared" si="225"/>
        <v>0</v>
      </c>
      <c r="M179" s="1">
        <f t="shared" si="226"/>
        <v>7.1428554398672919E-2</v>
      </c>
      <c r="N179">
        <f t="shared" si="227"/>
        <v>14336</v>
      </c>
      <c r="O179">
        <f t="shared" si="238"/>
        <v>4194304</v>
      </c>
      <c r="P179">
        <f t="shared" si="228"/>
        <v>0</v>
      </c>
      <c r="Q179">
        <f t="shared" si="229"/>
        <v>0</v>
      </c>
      <c r="S179">
        <f t="shared" si="230"/>
        <v>0</v>
      </c>
    </row>
    <row r="180" spans="2:19">
      <c r="B180">
        <f t="shared" si="231"/>
        <v>4194304</v>
      </c>
      <c r="D180">
        <f t="shared" si="214"/>
        <v>1024</v>
      </c>
      <c r="E180" s="1">
        <f t="shared" si="215"/>
        <v>1</v>
      </c>
      <c r="F180">
        <f t="shared" si="216"/>
        <v>0.2666015625</v>
      </c>
      <c r="G180">
        <f t="shared" si="196"/>
        <v>62914560</v>
      </c>
      <c r="H180">
        <f t="shared" si="236"/>
        <v>4194304</v>
      </c>
      <c r="I180">
        <f t="shared" si="240"/>
        <v>15360</v>
      </c>
      <c r="J180">
        <f t="shared" si="223"/>
        <v>64424509440</v>
      </c>
      <c r="K180">
        <f t="shared" si="224"/>
        <v>1024</v>
      </c>
      <c r="L180" s="1">
        <f t="shared" si="225"/>
        <v>0</v>
      </c>
      <c r="M180" s="1">
        <f t="shared" si="226"/>
        <v>6.6666650772094729E-2</v>
      </c>
      <c r="N180">
        <f t="shared" si="227"/>
        <v>15360</v>
      </c>
      <c r="O180">
        <f t="shared" si="238"/>
        <v>2097152</v>
      </c>
      <c r="P180">
        <f t="shared" si="228"/>
        <v>0</v>
      </c>
      <c r="Q180">
        <f t="shared" si="229"/>
        <v>0</v>
      </c>
      <c r="S180">
        <f t="shared" si="230"/>
        <v>0</v>
      </c>
    </row>
    <row r="181" spans="2:19">
      <c r="B181">
        <f t="shared" si="231"/>
        <v>4194304</v>
      </c>
      <c r="D181">
        <f t="shared" si="214"/>
        <v>1092.2666666666667</v>
      </c>
      <c r="E181" s="1">
        <f t="shared" si="215"/>
        <v>1</v>
      </c>
      <c r="F181">
        <f t="shared" si="216"/>
        <v>0.24993896484375</v>
      </c>
      <c r="G181">
        <f t="shared" si="196"/>
        <v>67108864</v>
      </c>
      <c r="H181">
        <f t="shared" si="236"/>
        <v>4194304</v>
      </c>
      <c r="I181">
        <f t="shared" si="240"/>
        <v>16384</v>
      </c>
      <c r="J181">
        <f t="shared" si="223"/>
        <v>68719476736</v>
      </c>
      <c r="K181">
        <f t="shared" si="224"/>
        <v>1024</v>
      </c>
      <c r="L181" s="1">
        <f t="shared" si="225"/>
        <v>0</v>
      </c>
      <c r="M181" s="1">
        <f t="shared" si="226"/>
        <v>6.2499985098838806E-2</v>
      </c>
      <c r="N181">
        <f t="shared" si="227"/>
        <v>16384</v>
      </c>
      <c r="O181">
        <f t="shared" si="238"/>
        <v>67108864</v>
      </c>
      <c r="P181">
        <f t="shared" si="228"/>
        <v>0</v>
      </c>
      <c r="Q181">
        <f t="shared" si="229"/>
        <v>0</v>
      </c>
      <c r="S181">
        <f t="shared" si="230"/>
        <v>0</v>
      </c>
    </row>
    <row r="182" spans="2:19">
      <c r="B182">
        <f t="shared" si="231"/>
        <v>4194304</v>
      </c>
      <c r="D182">
        <f t="shared" si="214"/>
        <v>1228.8</v>
      </c>
      <c r="E182" s="1">
        <f t="shared" si="215"/>
        <v>1</v>
      </c>
      <c r="F182">
        <f t="shared" si="216"/>
        <v>0.22216796875</v>
      </c>
      <c r="G182">
        <f t="shared" ref="G182:G245" si="241">G181+H182</f>
        <v>75497472</v>
      </c>
      <c r="H182">
        <f t="shared" ref="H182" si="242">H174*2</f>
        <v>8388608</v>
      </c>
      <c r="I182">
        <f t="shared" si="240"/>
        <v>18432</v>
      </c>
      <c r="J182">
        <f t="shared" si="223"/>
        <v>77309411328</v>
      </c>
      <c r="K182">
        <f t="shared" si="224"/>
        <v>1024</v>
      </c>
      <c r="L182" s="1">
        <f t="shared" si="225"/>
        <v>0</v>
      </c>
      <c r="M182" s="1">
        <f t="shared" si="226"/>
        <v>0.1111110978656345</v>
      </c>
      <c r="N182">
        <f t="shared" si="227"/>
        <v>18432</v>
      </c>
      <c r="O182">
        <f t="shared" si="238"/>
        <v>4194304</v>
      </c>
      <c r="P182">
        <f t="shared" si="228"/>
        <v>0</v>
      </c>
      <c r="Q182">
        <f t="shared" si="229"/>
        <v>0</v>
      </c>
      <c r="S182">
        <f t="shared" si="230"/>
        <v>0</v>
      </c>
    </row>
    <row r="183" spans="2:19">
      <c r="B183">
        <f t="shared" si="231"/>
        <v>4194304</v>
      </c>
      <c r="D183">
        <f t="shared" si="214"/>
        <v>1365.3333333333333</v>
      </c>
      <c r="E183" s="1">
        <f t="shared" si="215"/>
        <v>1</v>
      </c>
      <c r="F183">
        <f t="shared" si="216"/>
        <v>0.199951171875</v>
      </c>
      <c r="G183">
        <f t="shared" si="241"/>
        <v>83886080</v>
      </c>
      <c r="H183">
        <f t="shared" si="236"/>
        <v>8388608</v>
      </c>
      <c r="I183">
        <f t="shared" si="240"/>
        <v>20480</v>
      </c>
      <c r="J183">
        <f t="shared" si="223"/>
        <v>85899345920</v>
      </c>
      <c r="K183">
        <f t="shared" si="224"/>
        <v>1024</v>
      </c>
      <c r="L183" s="1">
        <f t="shared" si="225"/>
        <v>0</v>
      </c>
      <c r="M183" s="1">
        <f t="shared" si="226"/>
        <v>9.9999988079071039E-2</v>
      </c>
      <c r="N183">
        <f t="shared" si="227"/>
        <v>20480</v>
      </c>
      <c r="O183">
        <f t="shared" si="238"/>
        <v>8388608</v>
      </c>
      <c r="P183">
        <f t="shared" si="228"/>
        <v>0</v>
      </c>
      <c r="Q183">
        <f t="shared" si="229"/>
        <v>0</v>
      </c>
      <c r="S183">
        <f t="shared" si="230"/>
        <v>0</v>
      </c>
    </row>
    <row r="184" spans="2:19">
      <c r="B184">
        <f t="shared" si="231"/>
        <v>4194304</v>
      </c>
      <c r="D184">
        <f t="shared" si="214"/>
        <v>1501.8666666666666</v>
      </c>
      <c r="E184" s="1">
        <f t="shared" si="215"/>
        <v>1</v>
      </c>
      <c r="F184">
        <f t="shared" si="216"/>
        <v>0.18177379261363635</v>
      </c>
      <c r="G184">
        <f t="shared" si="241"/>
        <v>92274688</v>
      </c>
      <c r="H184">
        <f t="shared" si="236"/>
        <v>8388608</v>
      </c>
      <c r="I184">
        <f t="shared" si="240"/>
        <v>22528</v>
      </c>
      <c r="J184">
        <f t="shared" si="223"/>
        <v>94489280512</v>
      </c>
      <c r="K184">
        <f t="shared" si="224"/>
        <v>1024</v>
      </c>
      <c r="L184" s="1">
        <f t="shared" si="225"/>
        <v>0</v>
      </c>
      <c r="M184" s="1">
        <f t="shared" si="226"/>
        <v>9.0909080071882767E-2</v>
      </c>
      <c r="N184">
        <f t="shared" si="227"/>
        <v>22528</v>
      </c>
      <c r="O184">
        <f t="shared" si="238"/>
        <v>4194304</v>
      </c>
      <c r="P184">
        <f t="shared" si="228"/>
        <v>0</v>
      </c>
      <c r="Q184">
        <f t="shared" si="229"/>
        <v>0</v>
      </c>
      <c r="S184">
        <f t="shared" si="230"/>
        <v>0</v>
      </c>
    </row>
    <row r="185" spans="2:19">
      <c r="B185">
        <f t="shared" si="231"/>
        <v>4194304</v>
      </c>
      <c r="D185">
        <f t="shared" si="214"/>
        <v>1638.4</v>
      </c>
      <c r="E185" s="1">
        <f t="shared" si="215"/>
        <v>1</v>
      </c>
      <c r="F185">
        <f t="shared" si="216"/>
        <v>0.1666259765625</v>
      </c>
      <c r="G185">
        <f t="shared" si="241"/>
        <v>100663296</v>
      </c>
      <c r="H185">
        <f t="shared" si="236"/>
        <v>8388608</v>
      </c>
      <c r="I185">
        <f t="shared" si="240"/>
        <v>24576</v>
      </c>
      <c r="J185">
        <f t="shared" si="223"/>
        <v>103079215104</v>
      </c>
      <c r="K185">
        <f t="shared" si="224"/>
        <v>1024</v>
      </c>
      <c r="L185" s="1">
        <f t="shared" si="225"/>
        <v>0</v>
      </c>
      <c r="M185" s="1">
        <f t="shared" si="226"/>
        <v>8.3333323399225875E-2</v>
      </c>
      <c r="N185">
        <f t="shared" si="227"/>
        <v>24576</v>
      </c>
      <c r="O185">
        <f t="shared" si="238"/>
        <v>16777216</v>
      </c>
      <c r="P185">
        <f t="shared" si="228"/>
        <v>0</v>
      </c>
      <c r="Q185">
        <f t="shared" si="229"/>
        <v>0</v>
      </c>
      <c r="S185">
        <f t="shared" si="230"/>
        <v>0</v>
      </c>
    </row>
    <row r="186" spans="2:19">
      <c r="B186">
        <f t="shared" si="231"/>
        <v>4194304</v>
      </c>
      <c r="D186">
        <f t="shared" si="214"/>
        <v>1774.9333333333334</v>
      </c>
      <c r="E186" s="1">
        <f t="shared" si="215"/>
        <v>1</v>
      </c>
      <c r="F186">
        <f t="shared" si="216"/>
        <v>0.15380859375</v>
      </c>
      <c r="G186">
        <f t="shared" si="241"/>
        <v>109051904</v>
      </c>
      <c r="H186">
        <f t="shared" si="236"/>
        <v>8388608</v>
      </c>
      <c r="I186">
        <f t="shared" si="240"/>
        <v>26624</v>
      </c>
      <c r="J186">
        <f t="shared" si="223"/>
        <v>111669149696</v>
      </c>
      <c r="K186">
        <f t="shared" si="224"/>
        <v>1024</v>
      </c>
      <c r="L186" s="1">
        <f t="shared" si="225"/>
        <v>0</v>
      </c>
      <c r="M186" s="1">
        <f t="shared" si="226"/>
        <v>7.6923067753131569E-2</v>
      </c>
      <c r="N186">
        <f t="shared" si="227"/>
        <v>26624</v>
      </c>
      <c r="O186">
        <f t="shared" si="238"/>
        <v>4194304</v>
      </c>
      <c r="P186">
        <f t="shared" si="228"/>
        <v>0</v>
      </c>
      <c r="Q186">
        <f t="shared" si="229"/>
        <v>0</v>
      </c>
      <c r="S186">
        <f t="shared" si="230"/>
        <v>0</v>
      </c>
    </row>
    <row r="187" spans="2:19">
      <c r="B187">
        <f t="shared" si="231"/>
        <v>4194304</v>
      </c>
      <c r="D187">
        <f t="shared" si="214"/>
        <v>1911.4666666666667</v>
      </c>
      <c r="E187" s="1">
        <f t="shared" si="215"/>
        <v>1</v>
      </c>
      <c r="F187">
        <f t="shared" si="216"/>
        <v>0.142822265625</v>
      </c>
      <c r="G187">
        <f t="shared" si="241"/>
        <v>117440512</v>
      </c>
      <c r="H187">
        <f t="shared" si="236"/>
        <v>8388608</v>
      </c>
      <c r="I187">
        <f t="shared" si="240"/>
        <v>28672</v>
      </c>
      <c r="J187">
        <f t="shared" si="223"/>
        <v>120259084288</v>
      </c>
      <c r="K187">
        <f t="shared" si="224"/>
        <v>1024</v>
      </c>
      <c r="L187" s="1">
        <f t="shared" si="225"/>
        <v>0</v>
      </c>
      <c r="M187" s="1">
        <f t="shared" si="226"/>
        <v>7.1428562913622179E-2</v>
      </c>
      <c r="N187">
        <f t="shared" si="227"/>
        <v>28672</v>
      </c>
      <c r="O187">
        <f t="shared" si="238"/>
        <v>8388608</v>
      </c>
      <c r="P187">
        <f t="shared" si="228"/>
        <v>0</v>
      </c>
      <c r="Q187">
        <f t="shared" si="229"/>
        <v>0</v>
      </c>
      <c r="S187">
        <f t="shared" si="230"/>
        <v>0</v>
      </c>
    </row>
    <row r="188" spans="2:19">
      <c r="B188">
        <f t="shared" si="231"/>
        <v>4194304</v>
      </c>
      <c r="D188">
        <f t="shared" si="214"/>
        <v>2048</v>
      </c>
      <c r="E188" s="1">
        <f t="shared" si="215"/>
        <v>1</v>
      </c>
      <c r="F188">
        <f t="shared" si="216"/>
        <v>0.13330078125</v>
      </c>
      <c r="G188">
        <f t="shared" si="241"/>
        <v>125829120</v>
      </c>
      <c r="H188">
        <f t="shared" si="236"/>
        <v>8388608</v>
      </c>
      <c r="I188">
        <f t="shared" si="240"/>
        <v>30720</v>
      </c>
      <c r="J188">
        <f t="shared" si="223"/>
        <v>128849018880</v>
      </c>
      <c r="K188">
        <f t="shared" si="224"/>
        <v>1024</v>
      </c>
      <c r="L188" s="1">
        <f t="shared" si="225"/>
        <v>0</v>
      </c>
      <c r="M188" s="1">
        <f t="shared" si="226"/>
        <v>6.6666658719380698E-2</v>
      </c>
      <c r="N188">
        <f t="shared" si="227"/>
        <v>30720</v>
      </c>
      <c r="O188">
        <f t="shared" si="238"/>
        <v>4194304</v>
      </c>
      <c r="P188">
        <f t="shared" si="228"/>
        <v>0</v>
      </c>
      <c r="Q188">
        <f t="shared" si="229"/>
        <v>0</v>
      </c>
      <c r="S188">
        <f t="shared" si="230"/>
        <v>0</v>
      </c>
    </row>
    <row r="189" spans="2:19">
      <c r="B189">
        <f t="shared" si="231"/>
        <v>4194304</v>
      </c>
      <c r="D189">
        <f t="shared" ref="D189:D252" si="243">I189/15</f>
        <v>2184.5333333333333</v>
      </c>
      <c r="E189" s="1">
        <f t="shared" ref="E189:E252" si="244">(F189 - FLOOR(F189,1))/F189</f>
        <v>1</v>
      </c>
      <c r="F189">
        <f t="shared" ref="F189:F252" si="245">$E$22/I189</f>
        <v>0.124969482421875</v>
      </c>
      <c r="G189">
        <f t="shared" si="241"/>
        <v>134217728</v>
      </c>
      <c r="H189">
        <f t="shared" si="236"/>
        <v>8388608</v>
      </c>
      <c r="I189">
        <f t="shared" si="240"/>
        <v>32768</v>
      </c>
      <c r="J189">
        <f t="shared" si="223"/>
        <v>137438953472</v>
      </c>
      <c r="K189">
        <f t="shared" si="224"/>
        <v>1024</v>
      </c>
      <c r="L189" s="1">
        <f t="shared" si="225"/>
        <v>0</v>
      </c>
      <c r="M189" s="1">
        <f t="shared" si="226"/>
        <v>6.2499992549419403E-2</v>
      </c>
      <c r="N189">
        <f t="shared" si="227"/>
        <v>32768</v>
      </c>
      <c r="O189">
        <f t="shared" si="238"/>
        <v>134217728</v>
      </c>
      <c r="P189">
        <f t="shared" si="228"/>
        <v>0</v>
      </c>
      <c r="Q189">
        <f t="shared" si="229"/>
        <v>0</v>
      </c>
      <c r="S189">
        <f t="shared" si="230"/>
        <v>0</v>
      </c>
    </row>
    <row r="190" spans="2:19">
      <c r="B190">
        <f t="shared" si="231"/>
        <v>4194304</v>
      </c>
      <c r="D190">
        <f t="shared" si="243"/>
        <v>2457.6</v>
      </c>
      <c r="E190" s="1">
        <f t="shared" si="244"/>
        <v>1</v>
      </c>
      <c r="F190">
        <f t="shared" si="245"/>
        <v>0.111083984375</v>
      </c>
      <c r="G190">
        <f t="shared" si="241"/>
        <v>150994944</v>
      </c>
      <c r="H190">
        <f t="shared" ref="H190" si="246">H182*2</f>
        <v>16777216</v>
      </c>
      <c r="I190">
        <f t="shared" si="240"/>
        <v>36864</v>
      </c>
      <c r="J190">
        <f t="shared" ref="J190:J253" si="247">B190*I190</f>
        <v>154618822656</v>
      </c>
      <c r="K190">
        <f t="shared" ref="K190:K253" si="248">FLOOR(J190/G190,1)</f>
        <v>1024</v>
      </c>
      <c r="L190" s="1">
        <f t="shared" ref="L190:L253" si="249">(J190-K190*G190)/J190</f>
        <v>0</v>
      </c>
      <c r="M190" s="1">
        <f t="shared" ref="M190:M253" si="250">(G190-(G189+1))/(G190)</f>
        <v>0.1111111044883728</v>
      </c>
      <c r="N190">
        <f t="shared" ref="N190:N253" si="251">J190/B190</f>
        <v>36864</v>
      </c>
      <c r="O190">
        <f t="shared" si="238"/>
        <v>8388608</v>
      </c>
      <c r="P190">
        <f t="shared" ref="P190:P253" si="252">J190-G190*K190</f>
        <v>0</v>
      </c>
      <c r="Q190">
        <f t="shared" ref="Q190:Q253" si="253">P190/I190</f>
        <v>0</v>
      </c>
      <c r="S190">
        <f t="shared" ref="S190:S253" si="254">FLOOR((G190 + (B190-1))/B190, 1)*B190 - G190</f>
        <v>0</v>
      </c>
    </row>
    <row r="191" spans="2:19">
      <c r="B191">
        <f t="shared" ref="B191:B254" si="255">B190</f>
        <v>4194304</v>
      </c>
      <c r="D191">
        <f t="shared" si="243"/>
        <v>2730.6666666666665</v>
      </c>
      <c r="E191" s="1">
        <f t="shared" si="244"/>
        <v>1</v>
      </c>
      <c r="F191">
        <f t="shared" si="245"/>
        <v>9.99755859375E-2</v>
      </c>
      <c r="G191">
        <f t="shared" si="241"/>
        <v>167772160</v>
      </c>
      <c r="H191">
        <f t="shared" si="236"/>
        <v>16777216</v>
      </c>
      <c r="I191">
        <f t="shared" si="240"/>
        <v>40960</v>
      </c>
      <c r="J191">
        <f t="shared" si="247"/>
        <v>171798691840</v>
      </c>
      <c r="K191">
        <f t="shared" si="248"/>
        <v>1024</v>
      </c>
      <c r="L191" s="1">
        <f t="shared" si="249"/>
        <v>0</v>
      </c>
      <c r="M191" s="1">
        <f t="shared" si="250"/>
        <v>9.9999994039535522E-2</v>
      </c>
      <c r="N191">
        <f t="shared" si="251"/>
        <v>40960</v>
      </c>
      <c r="O191">
        <f t="shared" si="238"/>
        <v>16777216</v>
      </c>
      <c r="P191">
        <f t="shared" si="252"/>
        <v>0</v>
      </c>
      <c r="Q191">
        <f t="shared" si="253"/>
        <v>0</v>
      </c>
      <c r="S191">
        <f t="shared" si="254"/>
        <v>0</v>
      </c>
    </row>
    <row r="192" spans="2:19">
      <c r="B192">
        <f t="shared" si="255"/>
        <v>4194304</v>
      </c>
      <c r="D192">
        <f t="shared" si="243"/>
        <v>3003.7333333333331</v>
      </c>
      <c r="E192" s="1">
        <f t="shared" si="244"/>
        <v>1</v>
      </c>
      <c r="F192">
        <f t="shared" si="245"/>
        <v>9.0886896306818177E-2</v>
      </c>
      <c r="G192">
        <f t="shared" si="241"/>
        <v>184549376</v>
      </c>
      <c r="H192">
        <f t="shared" si="236"/>
        <v>16777216</v>
      </c>
      <c r="I192">
        <f t="shared" si="240"/>
        <v>45056</v>
      </c>
      <c r="J192">
        <f t="shared" si="247"/>
        <v>188978561024</v>
      </c>
      <c r="K192">
        <f t="shared" si="248"/>
        <v>1024</v>
      </c>
      <c r="L192" s="1">
        <f t="shared" si="249"/>
        <v>0</v>
      </c>
      <c r="M192" s="1">
        <f t="shared" si="250"/>
        <v>9.0909085490486832E-2</v>
      </c>
      <c r="N192">
        <f t="shared" si="251"/>
        <v>45056</v>
      </c>
      <c r="O192">
        <f t="shared" si="238"/>
        <v>8388608</v>
      </c>
      <c r="P192">
        <f t="shared" si="252"/>
        <v>0</v>
      </c>
      <c r="Q192">
        <f t="shared" si="253"/>
        <v>0</v>
      </c>
      <c r="S192">
        <f t="shared" si="254"/>
        <v>0</v>
      </c>
    </row>
    <row r="193" spans="2:19">
      <c r="B193">
        <f t="shared" si="255"/>
        <v>4194304</v>
      </c>
      <c r="D193">
        <f t="shared" si="243"/>
        <v>3276.8</v>
      </c>
      <c r="E193" s="1">
        <f t="shared" si="244"/>
        <v>1</v>
      </c>
      <c r="F193">
        <f t="shared" si="245"/>
        <v>8.331298828125E-2</v>
      </c>
      <c r="G193">
        <f t="shared" si="241"/>
        <v>201326592</v>
      </c>
      <c r="H193">
        <f t="shared" si="236"/>
        <v>16777216</v>
      </c>
      <c r="I193">
        <f t="shared" si="240"/>
        <v>49152</v>
      </c>
      <c r="J193">
        <f t="shared" si="247"/>
        <v>206158430208</v>
      </c>
      <c r="K193">
        <f t="shared" si="248"/>
        <v>1024</v>
      </c>
      <c r="L193" s="1">
        <f t="shared" si="249"/>
        <v>0</v>
      </c>
      <c r="M193" s="1">
        <f t="shared" si="250"/>
        <v>8.3333328366279602E-2</v>
      </c>
      <c r="N193">
        <f t="shared" si="251"/>
        <v>49152</v>
      </c>
      <c r="O193">
        <f t="shared" si="238"/>
        <v>33554432</v>
      </c>
      <c r="P193">
        <f t="shared" si="252"/>
        <v>0</v>
      </c>
      <c r="Q193">
        <f t="shared" si="253"/>
        <v>0</v>
      </c>
      <c r="S193">
        <f t="shared" si="254"/>
        <v>0</v>
      </c>
    </row>
    <row r="194" spans="2:19">
      <c r="B194">
        <f t="shared" si="255"/>
        <v>4194304</v>
      </c>
      <c r="D194">
        <f t="shared" si="243"/>
        <v>3549.8666666666668</v>
      </c>
      <c r="E194" s="1">
        <f t="shared" si="244"/>
        <v>1</v>
      </c>
      <c r="F194">
        <f t="shared" si="245"/>
        <v>7.6904296875E-2</v>
      </c>
      <c r="G194">
        <f t="shared" si="241"/>
        <v>218103808</v>
      </c>
      <c r="H194">
        <f t="shared" si="236"/>
        <v>16777216</v>
      </c>
      <c r="I194">
        <f t="shared" si="240"/>
        <v>53248</v>
      </c>
      <c r="J194">
        <f t="shared" si="247"/>
        <v>223338299392</v>
      </c>
      <c r="K194">
        <f t="shared" si="248"/>
        <v>1024</v>
      </c>
      <c r="L194" s="1">
        <f t="shared" si="249"/>
        <v>0</v>
      </c>
      <c r="M194" s="1">
        <f t="shared" si="250"/>
        <v>7.6923072338104248E-2</v>
      </c>
      <c r="N194">
        <f t="shared" si="251"/>
        <v>53248</v>
      </c>
      <c r="O194">
        <f t="shared" si="238"/>
        <v>8388608</v>
      </c>
      <c r="P194">
        <f t="shared" si="252"/>
        <v>0</v>
      </c>
      <c r="Q194">
        <f t="shared" si="253"/>
        <v>0</v>
      </c>
      <c r="S194">
        <f t="shared" si="254"/>
        <v>0</v>
      </c>
    </row>
    <row r="195" spans="2:19">
      <c r="B195">
        <f t="shared" si="255"/>
        <v>4194304</v>
      </c>
      <c r="D195">
        <f t="shared" si="243"/>
        <v>3822.9333333333334</v>
      </c>
      <c r="E195" s="1">
        <f t="shared" si="244"/>
        <v>1</v>
      </c>
      <c r="F195">
        <f t="shared" si="245"/>
        <v>7.14111328125E-2</v>
      </c>
      <c r="G195">
        <f t="shared" si="241"/>
        <v>234881024</v>
      </c>
      <c r="H195">
        <f t="shared" si="236"/>
        <v>16777216</v>
      </c>
      <c r="I195">
        <f t="shared" si="240"/>
        <v>57344</v>
      </c>
      <c r="J195">
        <f t="shared" si="247"/>
        <v>240518168576</v>
      </c>
      <c r="K195">
        <f t="shared" si="248"/>
        <v>1024</v>
      </c>
      <c r="L195" s="1">
        <f t="shared" si="249"/>
        <v>0</v>
      </c>
      <c r="M195" s="1">
        <f t="shared" si="250"/>
        <v>7.1428567171096802E-2</v>
      </c>
      <c r="N195">
        <f t="shared" si="251"/>
        <v>57344</v>
      </c>
      <c r="O195">
        <f t="shared" si="238"/>
        <v>16777216</v>
      </c>
      <c r="P195">
        <f t="shared" si="252"/>
        <v>0</v>
      </c>
      <c r="Q195">
        <f t="shared" si="253"/>
        <v>0</v>
      </c>
      <c r="S195">
        <f t="shared" si="254"/>
        <v>0</v>
      </c>
    </row>
    <row r="196" spans="2:19">
      <c r="B196">
        <f t="shared" si="255"/>
        <v>4194304</v>
      </c>
      <c r="D196">
        <f t="shared" si="243"/>
        <v>4096</v>
      </c>
      <c r="E196" s="1">
        <f t="shared" si="244"/>
        <v>1</v>
      </c>
      <c r="F196">
        <f t="shared" si="245"/>
        <v>6.6650390625E-2</v>
      </c>
      <c r="G196">
        <f t="shared" si="241"/>
        <v>251658240</v>
      </c>
      <c r="H196">
        <f t="shared" si="236"/>
        <v>16777216</v>
      </c>
      <c r="I196">
        <f t="shared" si="240"/>
        <v>61440</v>
      </c>
      <c r="J196">
        <f t="shared" si="247"/>
        <v>257698037760</v>
      </c>
      <c r="K196">
        <f t="shared" si="248"/>
        <v>1024</v>
      </c>
      <c r="L196" s="1">
        <f t="shared" si="249"/>
        <v>0</v>
      </c>
      <c r="M196" s="1">
        <f t="shared" si="250"/>
        <v>6.6666662693023682E-2</v>
      </c>
      <c r="N196">
        <f t="shared" si="251"/>
        <v>61440</v>
      </c>
      <c r="O196">
        <f t="shared" si="238"/>
        <v>8388608</v>
      </c>
      <c r="P196">
        <f t="shared" si="252"/>
        <v>0</v>
      </c>
      <c r="Q196">
        <f t="shared" si="253"/>
        <v>0</v>
      </c>
      <c r="S196">
        <f t="shared" si="254"/>
        <v>0</v>
      </c>
    </row>
    <row r="197" spans="2:19">
      <c r="B197">
        <f t="shared" si="255"/>
        <v>4194304</v>
      </c>
      <c r="D197">
        <f t="shared" si="243"/>
        <v>4369.0666666666666</v>
      </c>
      <c r="E197" s="1">
        <f t="shared" si="244"/>
        <v>1</v>
      </c>
      <c r="F197">
        <f t="shared" si="245"/>
        <v>6.24847412109375E-2</v>
      </c>
      <c r="G197">
        <f t="shared" si="241"/>
        <v>268435456</v>
      </c>
      <c r="H197">
        <f t="shared" si="236"/>
        <v>16777216</v>
      </c>
      <c r="I197">
        <f t="shared" si="240"/>
        <v>65536</v>
      </c>
      <c r="J197">
        <f t="shared" si="247"/>
        <v>274877906944</v>
      </c>
      <c r="K197">
        <f t="shared" si="248"/>
        <v>1024</v>
      </c>
      <c r="L197" s="1">
        <f t="shared" si="249"/>
        <v>0</v>
      </c>
      <c r="M197" s="1">
        <f t="shared" si="250"/>
        <v>6.2499996274709702E-2</v>
      </c>
      <c r="N197">
        <f t="shared" si="251"/>
        <v>65536</v>
      </c>
      <c r="O197">
        <f t="shared" si="238"/>
        <v>268435456</v>
      </c>
      <c r="P197">
        <f t="shared" si="252"/>
        <v>0</v>
      </c>
      <c r="Q197">
        <f t="shared" si="253"/>
        <v>0</v>
      </c>
      <c r="S197">
        <f t="shared" si="254"/>
        <v>0</v>
      </c>
    </row>
    <row r="198" spans="2:19">
      <c r="B198">
        <f t="shared" si="255"/>
        <v>4194304</v>
      </c>
      <c r="D198">
        <f t="shared" si="243"/>
        <v>4915.2</v>
      </c>
      <c r="E198" s="1">
        <f t="shared" si="244"/>
        <v>1</v>
      </c>
      <c r="F198">
        <f t="shared" si="245"/>
        <v>5.55419921875E-2</v>
      </c>
      <c r="G198">
        <f t="shared" si="241"/>
        <v>301989888</v>
      </c>
      <c r="H198">
        <f t="shared" ref="H198" si="256">H190*2</f>
        <v>33554432</v>
      </c>
      <c r="I198">
        <f t="shared" si="240"/>
        <v>73728</v>
      </c>
      <c r="J198">
        <f t="shared" si="247"/>
        <v>309237645312</v>
      </c>
      <c r="K198">
        <f t="shared" si="248"/>
        <v>1024</v>
      </c>
      <c r="L198" s="1">
        <f t="shared" si="249"/>
        <v>0</v>
      </c>
      <c r="M198" s="1">
        <f t="shared" si="250"/>
        <v>0.11111110779974195</v>
      </c>
      <c r="N198">
        <f t="shared" si="251"/>
        <v>73728</v>
      </c>
      <c r="O198">
        <f t="shared" si="238"/>
        <v>16777216</v>
      </c>
      <c r="P198">
        <f t="shared" si="252"/>
        <v>0</v>
      </c>
      <c r="Q198">
        <f t="shared" si="253"/>
        <v>0</v>
      </c>
      <c r="S198">
        <f t="shared" si="254"/>
        <v>0</v>
      </c>
    </row>
    <row r="199" spans="2:19">
      <c r="B199">
        <f t="shared" si="255"/>
        <v>4194304</v>
      </c>
      <c r="D199">
        <f t="shared" si="243"/>
        <v>5461.333333333333</v>
      </c>
      <c r="E199" s="1">
        <f t="shared" si="244"/>
        <v>1</v>
      </c>
      <c r="F199">
        <f t="shared" si="245"/>
        <v>4.998779296875E-2</v>
      </c>
      <c r="G199">
        <f t="shared" si="241"/>
        <v>335544320</v>
      </c>
      <c r="H199">
        <f t="shared" si="236"/>
        <v>33554432</v>
      </c>
      <c r="I199">
        <f t="shared" si="240"/>
        <v>81920</v>
      </c>
      <c r="J199">
        <f t="shared" si="247"/>
        <v>343597383680</v>
      </c>
      <c r="K199">
        <f t="shared" si="248"/>
        <v>1024</v>
      </c>
      <c r="L199" s="1">
        <f t="shared" si="249"/>
        <v>0</v>
      </c>
      <c r="M199" s="1">
        <f t="shared" si="250"/>
        <v>9.9999997019767764E-2</v>
      </c>
      <c r="N199">
        <f t="shared" si="251"/>
        <v>81920</v>
      </c>
      <c r="O199">
        <f t="shared" si="238"/>
        <v>33554432</v>
      </c>
      <c r="P199">
        <f t="shared" si="252"/>
        <v>0</v>
      </c>
      <c r="Q199">
        <f t="shared" si="253"/>
        <v>0</v>
      </c>
      <c r="S199">
        <f t="shared" si="254"/>
        <v>0</v>
      </c>
    </row>
    <row r="200" spans="2:19">
      <c r="B200">
        <f t="shared" si="255"/>
        <v>4194304</v>
      </c>
      <c r="D200">
        <f t="shared" si="243"/>
        <v>6007.4666666666662</v>
      </c>
      <c r="E200" s="1">
        <f t="shared" si="244"/>
        <v>1</v>
      </c>
      <c r="F200">
        <f t="shared" si="245"/>
        <v>4.5443448153409088E-2</v>
      </c>
      <c r="G200">
        <f t="shared" si="241"/>
        <v>369098752</v>
      </c>
      <c r="H200">
        <f t="shared" si="236"/>
        <v>33554432</v>
      </c>
      <c r="I200">
        <f t="shared" si="240"/>
        <v>90112</v>
      </c>
      <c r="J200">
        <f t="shared" si="247"/>
        <v>377957122048</v>
      </c>
      <c r="K200">
        <f t="shared" si="248"/>
        <v>1024</v>
      </c>
      <c r="L200" s="1">
        <f t="shared" si="249"/>
        <v>0</v>
      </c>
      <c r="M200" s="1">
        <f t="shared" si="250"/>
        <v>9.0909088199788879E-2</v>
      </c>
      <c r="N200">
        <f t="shared" si="251"/>
        <v>90112</v>
      </c>
      <c r="O200">
        <f t="shared" si="238"/>
        <v>16777216</v>
      </c>
      <c r="P200">
        <f t="shared" si="252"/>
        <v>0</v>
      </c>
      <c r="Q200">
        <f t="shared" si="253"/>
        <v>0</v>
      </c>
      <c r="S200">
        <f t="shared" si="254"/>
        <v>0</v>
      </c>
    </row>
    <row r="201" spans="2:19">
      <c r="B201">
        <f t="shared" si="255"/>
        <v>4194304</v>
      </c>
      <c r="D201">
        <f t="shared" si="243"/>
        <v>6553.6</v>
      </c>
      <c r="E201" s="1">
        <f t="shared" si="244"/>
        <v>1</v>
      </c>
      <c r="F201">
        <f t="shared" si="245"/>
        <v>4.1656494140625E-2</v>
      </c>
      <c r="G201">
        <f t="shared" si="241"/>
        <v>402653184</v>
      </c>
      <c r="H201">
        <f t="shared" si="236"/>
        <v>33554432</v>
      </c>
      <c r="I201">
        <f t="shared" si="240"/>
        <v>98304</v>
      </c>
      <c r="J201">
        <f t="shared" si="247"/>
        <v>412316860416</v>
      </c>
      <c r="K201">
        <f t="shared" si="248"/>
        <v>1024</v>
      </c>
      <c r="L201" s="1">
        <f t="shared" si="249"/>
        <v>0</v>
      </c>
      <c r="M201" s="1">
        <f t="shared" si="250"/>
        <v>8.3333330849806472E-2</v>
      </c>
      <c r="N201">
        <f t="shared" si="251"/>
        <v>98304</v>
      </c>
      <c r="O201">
        <f t="shared" si="238"/>
        <v>67108864</v>
      </c>
      <c r="P201">
        <f t="shared" si="252"/>
        <v>0</v>
      </c>
      <c r="Q201">
        <f t="shared" si="253"/>
        <v>0</v>
      </c>
      <c r="S201">
        <f t="shared" si="254"/>
        <v>0</v>
      </c>
    </row>
    <row r="202" spans="2:19">
      <c r="B202">
        <f t="shared" si="255"/>
        <v>4194304</v>
      </c>
      <c r="D202">
        <f t="shared" si="243"/>
        <v>7099.7333333333336</v>
      </c>
      <c r="E202" s="1">
        <f t="shared" si="244"/>
        <v>1</v>
      </c>
      <c r="F202">
        <f t="shared" si="245"/>
        <v>3.84521484375E-2</v>
      </c>
      <c r="G202">
        <f t="shared" si="241"/>
        <v>436207616</v>
      </c>
      <c r="H202">
        <f t="shared" si="236"/>
        <v>33554432</v>
      </c>
      <c r="I202">
        <f t="shared" si="240"/>
        <v>106496</v>
      </c>
      <c r="J202">
        <f t="shared" si="247"/>
        <v>446676598784</v>
      </c>
      <c r="K202">
        <f t="shared" si="248"/>
        <v>1024</v>
      </c>
      <c r="L202" s="1">
        <f t="shared" si="249"/>
        <v>0</v>
      </c>
      <c r="M202" s="1">
        <f t="shared" si="250"/>
        <v>7.6923074630590588E-2</v>
      </c>
      <c r="N202">
        <f t="shared" si="251"/>
        <v>106496</v>
      </c>
      <c r="O202">
        <f t="shared" si="238"/>
        <v>16777216</v>
      </c>
      <c r="P202">
        <f t="shared" si="252"/>
        <v>0</v>
      </c>
      <c r="Q202">
        <f t="shared" si="253"/>
        <v>0</v>
      </c>
      <c r="S202">
        <f t="shared" si="254"/>
        <v>0</v>
      </c>
    </row>
    <row r="203" spans="2:19">
      <c r="B203">
        <f t="shared" si="255"/>
        <v>4194304</v>
      </c>
      <c r="D203">
        <f t="shared" si="243"/>
        <v>7645.8666666666668</v>
      </c>
      <c r="E203" s="1">
        <f t="shared" si="244"/>
        <v>1</v>
      </c>
      <c r="F203">
        <f t="shared" si="245"/>
        <v>3.570556640625E-2</v>
      </c>
      <c r="G203">
        <f t="shared" si="241"/>
        <v>469762048</v>
      </c>
      <c r="H203">
        <f t="shared" si="236"/>
        <v>33554432</v>
      </c>
      <c r="I203">
        <f t="shared" si="240"/>
        <v>114688</v>
      </c>
      <c r="J203">
        <f t="shared" si="247"/>
        <v>481036337152</v>
      </c>
      <c r="K203">
        <f t="shared" si="248"/>
        <v>1024</v>
      </c>
      <c r="L203" s="1">
        <f t="shared" si="249"/>
        <v>0</v>
      </c>
      <c r="M203" s="1">
        <f t="shared" si="250"/>
        <v>7.1428569299834113E-2</v>
      </c>
      <c r="N203">
        <f t="shared" si="251"/>
        <v>114688</v>
      </c>
      <c r="O203">
        <f t="shared" si="238"/>
        <v>33554432</v>
      </c>
      <c r="P203">
        <f t="shared" si="252"/>
        <v>0</v>
      </c>
      <c r="Q203">
        <f t="shared" si="253"/>
        <v>0</v>
      </c>
      <c r="S203">
        <f t="shared" si="254"/>
        <v>0</v>
      </c>
    </row>
    <row r="204" spans="2:19">
      <c r="B204">
        <f t="shared" si="255"/>
        <v>4194304</v>
      </c>
      <c r="D204">
        <f t="shared" si="243"/>
        <v>8192</v>
      </c>
      <c r="E204" s="1">
        <f t="shared" si="244"/>
        <v>1</v>
      </c>
      <c r="F204">
        <f t="shared" si="245"/>
        <v>3.33251953125E-2</v>
      </c>
      <c r="G204">
        <f t="shared" si="241"/>
        <v>503316480</v>
      </c>
      <c r="H204">
        <f t="shared" si="236"/>
        <v>33554432</v>
      </c>
      <c r="I204">
        <f t="shared" si="240"/>
        <v>122880</v>
      </c>
      <c r="J204">
        <f t="shared" si="247"/>
        <v>515396075520</v>
      </c>
      <c r="K204">
        <f t="shared" si="248"/>
        <v>1024</v>
      </c>
      <c r="L204" s="1">
        <f t="shared" si="249"/>
        <v>0</v>
      </c>
      <c r="M204" s="1">
        <f t="shared" si="250"/>
        <v>6.6666664679845181E-2</v>
      </c>
      <c r="N204">
        <f t="shared" si="251"/>
        <v>122880</v>
      </c>
      <c r="O204">
        <f t="shared" si="238"/>
        <v>16777216</v>
      </c>
      <c r="P204">
        <f t="shared" si="252"/>
        <v>0</v>
      </c>
      <c r="Q204">
        <f t="shared" si="253"/>
        <v>0</v>
      </c>
      <c r="S204">
        <f t="shared" si="254"/>
        <v>0</v>
      </c>
    </row>
    <row r="205" spans="2:19">
      <c r="B205">
        <f t="shared" si="255"/>
        <v>4194304</v>
      </c>
      <c r="D205">
        <f t="shared" si="243"/>
        <v>8738.1333333333332</v>
      </c>
      <c r="E205" s="1">
        <f t="shared" si="244"/>
        <v>1</v>
      </c>
      <c r="F205">
        <f t="shared" si="245"/>
        <v>3.124237060546875E-2</v>
      </c>
      <c r="G205">
        <f t="shared" si="241"/>
        <v>536870912</v>
      </c>
      <c r="H205">
        <f t="shared" si="236"/>
        <v>33554432</v>
      </c>
      <c r="I205">
        <f t="shared" si="240"/>
        <v>131072</v>
      </c>
      <c r="J205">
        <f t="shared" si="247"/>
        <v>549755813888</v>
      </c>
      <c r="K205">
        <f t="shared" si="248"/>
        <v>1024</v>
      </c>
      <c r="L205" s="1">
        <f t="shared" si="249"/>
        <v>0</v>
      </c>
      <c r="M205" s="1">
        <f t="shared" si="250"/>
        <v>6.2499998137354851E-2</v>
      </c>
      <c r="N205">
        <f t="shared" si="251"/>
        <v>131072</v>
      </c>
      <c r="O205">
        <f t="shared" si="238"/>
        <v>536870912</v>
      </c>
      <c r="P205">
        <f t="shared" si="252"/>
        <v>0</v>
      </c>
      <c r="Q205">
        <f t="shared" si="253"/>
        <v>0</v>
      </c>
      <c r="S205">
        <f t="shared" si="254"/>
        <v>0</v>
      </c>
    </row>
    <row r="206" spans="2:19">
      <c r="B206">
        <f t="shared" si="255"/>
        <v>4194304</v>
      </c>
      <c r="D206">
        <f t="shared" si="243"/>
        <v>9830.4</v>
      </c>
      <c r="E206" s="1">
        <f t="shared" si="244"/>
        <v>1</v>
      </c>
      <c r="F206">
        <f t="shared" si="245"/>
        <v>2.777099609375E-2</v>
      </c>
      <c r="G206">
        <f t="shared" si="241"/>
        <v>603979776</v>
      </c>
      <c r="H206">
        <f t="shared" ref="H206" si="257">H198*2</f>
        <v>67108864</v>
      </c>
      <c r="I206">
        <f t="shared" si="240"/>
        <v>147456</v>
      </c>
      <c r="J206">
        <f t="shared" si="247"/>
        <v>618475290624</v>
      </c>
      <c r="K206">
        <f t="shared" si="248"/>
        <v>1024</v>
      </c>
      <c r="L206" s="1">
        <f t="shared" si="249"/>
        <v>0</v>
      </c>
      <c r="M206" s="1">
        <f t="shared" si="250"/>
        <v>0.11111110945542653</v>
      </c>
      <c r="N206">
        <f t="shared" si="251"/>
        <v>147456</v>
      </c>
      <c r="O206">
        <f t="shared" si="238"/>
        <v>33554432</v>
      </c>
      <c r="P206">
        <f t="shared" si="252"/>
        <v>0</v>
      </c>
      <c r="Q206">
        <f t="shared" si="253"/>
        <v>0</v>
      </c>
      <c r="S206">
        <f t="shared" si="254"/>
        <v>0</v>
      </c>
    </row>
    <row r="207" spans="2:19">
      <c r="B207">
        <f t="shared" si="255"/>
        <v>4194304</v>
      </c>
      <c r="D207">
        <f t="shared" si="243"/>
        <v>10922.666666666666</v>
      </c>
      <c r="E207" s="1">
        <f t="shared" si="244"/>
        <v>1</v>
      </c>
      <c r="F207">
        <f t="shared" si="245"/>
        <v>2.4993896484375E-2</v>
      </c>
      <c r="G207">
        <f t="shared" si="241"/>
        <v>671088640</v>
      </c>
      <c r="H207">
        <f t="shared" si="236"/>
        <v>67108864</v>
      </c>
      <c r="I207">
        <f t="shared" si="240"/>
        <v>163840</v>
      </c>
      <c r="J207">
        <f t="shared" si="247"/>
        <v>687194767360</v>
      </c>
      <c r="K207">
        <f t="shared" si="248"/>
        <v>1024</v>
      </c>
      <c r="L207" s="1">
        <f t="shared" si="249"/>
        <v>0</v>
      </c>
      <c r="M207" s="1">
        <f t="shared" si="250"/>
        <v>9.9999998509883878E-2</v>
      </c>
      <c r="N207">
        <f t="shared" si="251"/>
        <v>163840</v>
      </c>
      <c r="O207">
        <f t="shared" si="238"/>
        <v>67108864</v>
      </c>
      <c r="P207">
        <f t="shared" si="252"/>
        <v>0</v>
      </c>
      <c r="Q207">
        <f t="shared" si="253"/>
        <v>0</v>
      </c>
      <c r="S207">
        <f t="shared" si="254"/>
        <v>0</v>
      </c>
    </row>
    <row r="208" spans="2:19">
      <c r="B208">
        <f t="shared" si="255"/>
        <v>4194304</v>
      </c>
      <c r="D208">
        <f t="shared" si="243"/>
        <v>12014.933333333332</v>
      </c>
      <c r="E208" s="1">
        <f t="shared" si="244"/>
        <v>1</v>
      </c>
      <c r="F208">
        <f t="shared" si="245"/>
        <v>2.2721724076704544E-2</v>
      </c>
      <c r="G208">
        <f t="shared" si="241"/>
        <v>738197504</v>
      </c>
      <c r="H208">
        <f t="shared" si="236"/>
        <v>67108864</v>
      </c>
      <c r="I208">
        <f t="shared" si="240"/>
        <v>180224</v>
      </c>
      <c r="J208">
        <f t="shared" si="247"/>
        <v>755914244096</v>
      </c>
      <c r="K208">
        <f t="shared" si="248"/>
        <v>1024</v>
      </c>
      <c r="L208" s="1">
        <f t="shared" si="249"/>
        <v>0</v>
      </c>
      <c r="M208" s="1">
        <f t="shared" si="250"/>
        <v>9.0909089554439895E-2</v>
      </c>
      <c r="N208">
        <f t="shared" si="251"/>
        <v>180224</v>
      </c>
      <c r="O208">
        <f t="shared" si="238"/>
        <v>33554432</v>
      </c>
      <c r="P208">
        <f t="shared" si="252"/>
        <v>0</v>
      </c>
      <c r="Q208">
        <f t="shared" si="253"/>
        <v>0</v>
      </c>
      <c r="S208">
        <f t="shared" si="254"/>
        <v>0</v>
      </c>
    </row>
    <row r="209" spans="2:19">
      <c r="B209">
        <f t="shared" si="255"/>
        <v>4194304</v>
      </c>
      <c r="D209">
        <f t="shared" si="243"/>
        <v>13107.2</v>
      </c>
      <c r="E209" s="1">
        <f t="shared" si="244"/>
        <v>1</v>
      </c>
      <c r="F209">
        <f t="shared" si="245"/>
        <v>2.08282470703125E-2</v>
      </c>
      <c r="G209">
        <f t="shared" si="241"/>
        <v>805306368</v>
      </c>
      <c r="H209">
        <f t="shared" si="236"/>
        <v>67108864</v>
      </c>
      <c r="I209">
        <f t="shared" si="240"/>
        <v>196608</v>
      </c>
      <c r="J209">
        <f t="shared" si="247"/>
        <v>824633720832</v>
      </c>
      <c r="K209">
        <f t="shared" si="248"/>
        <v>1024</v>
      </c>
      <c r="L209" s="1">
        <f t="shared" si="249"/>
        <v>0</v>
      </c>
      <c r="M209" s="1">
        <f t="shared" si="250"/>
        <v>8.3333332091569901E-2</v>
      </c>
      <c r="N209">
        <f t="shared" si="251"/>
        <v>196608</v>
      </c>
      <c r="O209">
        <f t="shared" si="238"/>
        <v>134217728</v>
      </c>
      <c r="P209">
        <f t="shared" si="252"/>
        <v>0</v>
      </c>
      <c r="Q209">
        <f t="shared" si="253"/>
        <v>0</v>
      </c>
      <c r="S209">
        <f t="shared" si="254"/>
        <v>0</v>
      </c>
    </row>
    <row r="210" spans="2:19">
      <c r="B210">
        <f t="shared" si="255"/>
        <v>4194304</v>
      </c>
      <c r="D210">
        <f t="shared" si="243"/>
        <v>14199.466666666667</v>
      </c>
      <c r="E210" s="1">
        <f t="shared" si="244"/>
        <v>1</v>
      </c>
      <c r="F210">
        <f t="shared" si="245"/>
        <v>1.922607421875E-2</v>
      </c>
      <c r="G210">
        <f t="shared" si="241"/>
        <v>872415232</v>
      </c>
      <c r="H210">
        <f t="shared" si="236"/>
        <v>67108864</v>
      </c>
      <c r="I210">
        <f t="shared" si="240"/>
        <v>212992</v>
      </c>
      <c r="J210">
        <f t="shared" si="247"/>
        <v>893353197568</v>
      </c>
      <c r="K210">
        <f t="shared" si="248"/>
        <v>1024</v>
      </c>
      <c r="L210" s="1">
        <f t="shared" si="249"/>
        <v>0</v>
      </c>
      <c r="M210" s="1">
        <f t="shared" si="250"/>
        <v>7.6923075776833758E-2</v>
      </c>
      <c r="N210">
        <f t="shared" si="251"/>
        <v>212992</v>
      </c>
      <c r="O210">
        <f t="shared" si="238"/>
        <v>33554432</v>
      </c>
      <c r="P210">
        <f t="shared" si="252"/>
        <v>0</v>
      </c>
      <c r="Q210">
        <f t="shared" si="253"/>
        <v>0</v>
      </c>
      <c r="S210">
        <f t="shared" si="254"/>
        <v>0</v>
      </c>
    </row>
    <row r="211" spans="2:19">
      <c r="B211">
        <f t="shared" si="255"/>
        <v>4194304</v>
      </c>
      <c r="D211">
        <f t="shared" si="243"/>
        <v>15291.733333333334</v>
      </c>
      <c r="E211" s="1">
        <f t="shared" si="244"/>
        <v>1</v>
      </c>
      <c r="F211">
        <f t="shared" si="245"/>
        <v>1.7852783203125E-2</v>
      </c>
      <c r="G211">
        <f t="shared" si="241"/>
        <v>939524096</v>
      </c>
      <c r="H211">
        <f t="shared" si="236"/>
        <v>67108864</v>
      </c>
      <c r="I211">
        <f t="shared" si="240"/>
        <v>229376</v>
      </c>
      <c r="J211">
        <f t="shared" si="247"/>
        <v>962072674304</v>
      </c>
      <c r="K211">
        <f t="shared" si="248"/>
        <v>1024</v>
      </c>
      <c r="L211" s="1">
        <f t="shared" si="249"/>
        <v>0</v>
      </c>
      <c r="M211" s="1">
        <f t="shared" si="250"/>
        <v>7.1428570364202776E-2</v>
      </c>
      <c r="N211">
        <f t="shared" si="251"/>
        <v>229376</v>
      </c>
      <c r="O211">
        <f t="shared" si="238"/>
        <v>67108864</v>
      </c>
      <c r="P211">
        <f t="shared" si="252"/>
        <v>0</v>
      </c>
      <c r="Q211">
        <f t="shared" si="253"/>
        <v>0</v>
      </c>
      <c r="S211">
        <f t="shared" si="254"/>
        <v>0</v>
      </c>
    </row>
    <row r="212" spans="2:19">
      <c r="B212">
        <f t="shared" si="255"/>
        <v>4194304</v>
      </c>
      <c r="D212">
        <f t="shared" si="243"/>
        <v>16384</v>
      </c>
      <c r="E212" s="1">
        <f t="shared" si="244"/>
        <v>1</v>
      </c>
      <c r="F212">
        <f t="shared" si="245"/>
        <v>1.666259765625E-2</v>
      </c>
      <c r="G212">
        <f t="shared" si="241"/>
        <v>1006632960</v>
      </c>
      <c r="H212">
        <f t="shared" si="236"/>
        <v>67108864</v>
      </c>
      <c r="I212">
        <f t="shared" si="240"/>
        <v>245760</v>
      </c>
      <c r="J212">
        <f t="shared" si="247"/>
        <v>1030792151040</v>
      </c>
      <c r="K212">
        <f t="shared" si="248"/>
        <v>1024</v>
      </c>
      <c r="L212" s="1">
        <f t="shared" si="249"/>
        <v>0</v>
      </c>
      <c r="M212" s="1">
        <f t="shared" si="250"/>
        <v>6.6666665673255923E-2</v>
      </c>
      <c r="N212">
        <f t="shared" si="251"/>
        <v>245760</v>
      </c>
      <c r="O212">
        <f t="shared" si="238"/>
        <v>33554432</v>
      </c>
      <c r="P212">
        <f t="shared" si="252"/>
        <v>0</v>
      </c>
      <c r="Q212">
        <f t="shared" si="253"/>
        <v>0</v>
      </c>
      <c r="S212">
        <f t="shared" si="254"/>
        <v>0</v>
      </c>
    </row>
    <row r="213" spans="2:19">
      <c r="B213">
        <f t="shared" si="255"/>
        <v>4194304</v>
      </c>
      <c r="D213">
        <f t="shared" si="243"/>
        <v>17476.266666666666</v>
      </c>
      <c r="E213" s="1">
        <f t="shared" si="244"/>
        <v>1</v>
      </c>
      <c r="F213">
        <f t="shared" si="245"/>
        <v>1.5621185302734375E-2</v>
      </c>
      <c r="G213">
        <f t="shared" si="241"/>
        <v>1073741824</v>
      </c>
      <c r="H213">
        <f t="shared" si="236"/>
        <v>67108864</v>
      </c>
      <c r="I213">
        <f t="shared" si="240"/>
        <v>262144</v>
      </c>
      <c r="J213">
        <f t="shared" si="247"/>
        <v>1099511627776</v>
      </c>
      <c r="K213">
        <f t="shared" si="248"/>
        <v>1024</v>
      </c>
      <c r="L213" s="1">
        <f t="shared" si="249"/>
        <v>0</v>
      </c>
      <c r="M213" s="1">
        <f t="shared" si="250"/>
        <v>6.2499999068677425E-2</v>
      </c>
      <c r="N213">
        <f t="shared" si="251"/>
        <v>262144</v>
      </c>
      <c r="O213">
        <f t="shared" si="238"/>
        <v>1073741824</v>
      </c>
      <c r="P213">
        <f t="shared" si="252"/>
        <v>0</v>
      </c>
      <c r="Q213">
        <f t="shared" si="253"/>
        <v>0</v>
      </c>
      <c r="S213">
        <f t="shared" si="254"/>
        <v>0</v>
      </c>
    </row>
    <row r="214" spans="2:19">
      <c r="B214">
        <f t="shared" si="255"/>
        <v>4194304</v>
      </c>
      <c r="D214">
        <f t="shared" si="243"/>
        <v>19660.8</v>
      </c>
      <c r="E214" s="1">
        <f t="shared" si="244"/>
        <v>1</v>
      </c>
      <c r="F214">
        <f t="shared" si="245"/>
        <v>1.3885498046875E-2</v>
      </c>
      <c r="G214">
        <f t="shared" si="241"/>
        <v>1207959552</v>
      </c>
      <c r="H214">
        <f t="shared" ref="H214" si="258">H206*2</f>
        <v>134217728</v>
      </c>
      <c r="I214">
        <f t="shared" si="240"/>
        <v>294912</v>
      </c>
      <c r="J214">
        <f t="shared" si="247"/>
        <v>1236950581248</v>
      </c>
      <c r="K214">
        <f t="shared" si="248"/>
        <v>1024</v>
      </c>
      <c r="L214" s="1">
        <f t="shared" si="249"/>
        <v>0</v>
      </c>
      <c r="M214" s="1">
        <f t="shared" si="250"/>
        <v>0.11111111028326882</v>
      </c>
      <c r="N214">
        <f t="shared" si="251"/>
        <v>294912</v>
      </c>
      <c r="O214">
        <f t="shared" si="238"/>
        <v>67108864</v>
      </c>
      <c r="P214">
        <f t="shared" si="252"/>
        <v>0</v>
      </c>
      <c r="Q214">
        <f t="shared" si="253"/>
        <v>0</v>
      </c>
      <c r="S214">
        <f t="shared" si="254"/>
        <v>0</v>
      </c>
    </row>
    <row r="215" spans="2:19">
      <c r="B215">
        <f t="shared" si="255"/>
        <v>4194304</v>
      </c>
      <c r="D215">
        <f t="shared" si="243"/>
        <v>21845.333333333332</v>
      </c>
      <c r="E215" s="1">
        <f t="shared" si="244"/>
        <v>1</v>
      </c>
      <c r="F215">
        <f t="shared" si="245"/>
        <v>1.24969482421875E-2</v>
      </c>
      <c r="G215">
        <f t="shared" si="241"/>
        <v>1342177280</v>
      </c>
      <c r="H215">
        <f t="shared" si="236"/>
        <v>134217728</v>
      </c>
      <c r="I215">
        <f t="shared" si="240"/>
        <v>327680</v>
      </c>
      <c r="J215">
        <f t="shared" si="247"/>
        <v>1374389534720</v>
      </c>
      <c r="K215">
        <f t="shared" si="248"/>
        <v>1024</v>
      </c>
      <c r="L215" s="1">
        <f t="shared" si="249"/>
        <v>0</v>
      </c>
      <c r="M215" s="1">
        <f t="shared" si="250"/>
        <v>9.9999999254941935E-2</v>
      </c>
      <c r="N215">
        <f t="shared" si="251"/>
        <v>327680</v>
      </c>
      <c r="O215">
        <f t="shared" si="238"/>
        <v>134217728</v>
      </c>
      <c r="P215">
        <f t="shared" si="252"/>
        <v>0</v>
      </c>
      <c r="Q215">
        <f t="shared" si="253"/>
        <v>0</v>
      </c>
      <c r="S215">
        <f t="shared" si="254"/>
        <v>0</v>
      </c>
    </row>
    <row r="216" spans="2:19">
      <c r="B216">
        <f t="shared" si="255"/>
        <v>4194304</v>
      </c>
      <c r="D216">
        <f t="shared" si="243"/>
        <v>24029.866666666665</v>
      </c>
      <c r="E216" s="1">
        <f t="shared" si="244"/>
        <v>1</v>
      </c>
      <c r="F216">
        <f t="shared" si="245"/>
        <v>1.1360862038352272E-2</v>
      </c>
      <c r="G216">
        <f t="shared" si="241"/>
        <v>1476395008</v>
      </c>
      <c r="H216">
        <f t="shared" si="236"/>
        <v>134217728</v>
      </c>
      <c r="I216">
        <f t="shared" si="240"/>
        <v>360448</v>
      </c>
      <c r="J216">
        <f t="shared" si="247"/>
        <v>1511828488192</v>
      </c>
      <c r="K216">
        <f t="shared" si="248"/>
        <v>1024</v>
      </c>
      <c r="L216" s="1">
        <f t="shared" si="249"/>
        <v>0</v>
      </c>
      <c r="M216" s="1">
        <f t="shared" si="250"/>
        <v>9.0909090231765396E-2</v>
      </c>
      <c r="N216">
        <f t="shared" si="251"/>
        <v>360448</v>
      </c>
      <c r="O216">
        <f t="shared" si="238"/>
        <v>67108864</v>
      </c>
      <c r="P216">
        <f t="shared" si="252"/>
        <v>0</v>
      </c>
      <c r="Q216">
        <f t="shared" si="253"/>
        <v>0</v>
      </c>
      <c r="S216">
        <f t="shared" si="254"/>
        <v>0</v>
      </c>
    </row>
    <row r="217" spans="2:19">
      <c r="B217">
        <f t="shared" si="255"/>
        <v>4194304</v>
      </c>
      <c r="D217">
        <f t="shared" si="243"/>
        <v>26214.400000000001</v>
      </c>
      <c r="E217" s="1">
        <f t="shared" si="244"/>
        <v>1</v>
      </c>
      <c r="F217">
        <f t="shared" si="245"/>
        <v>1.041412353515625E-2</v>
      </c>
      <c r="G217">
        <f t="shared" si="241"/>
        <v>1610612736</v>
      </c>
      <c r="H217">
        <f t="shared" si="236"/>
        <v>134217728</v>
      </c>
      <c r="I217">
        <f t="shared" si="240"/>
        <v>393216</v>
      </c>
      <c r="J217">
        <f t="shared" si="247"/>
        <v>1649267441664</v>
      </c>
      <c r="K217">
        <f t="shared" si="248"/>
        <v>1024</v>
      </c>
      <c r="L217" s="1">
        <f t="shared" si="249"/>
        <v>0</v>
      </c>
      <c r="M217" s="1">
        <f t="shared" si="250"/>
        <v>8.3333332712451622E-2</v>
      </c>
      <c r="N217">
        <f t="shared" si="251"/>
        <v>393216</v>
      </c>
      <c r="O217">
        <f t="shared" si="238"/>
        <v>268435456</v>
      </c>
      <c r="P217">
        <f t="shared" si="252"/>
        <v>0</v>
      </c>
      <c r="Q217">
        <f t="shared" si="253"/>
        <v>0</v>
      </c>
      <c r="S217">
        <f t="shared" si="254"/>
        <v>0</v>
      </c>
    </row>
    <row r="218" spans="2:19">
      <c r="B218">
        <f t="shared" si="255"/>
        <v>4194304</v>
      </c>
      <c r="D218">
        <f t="shared" si="243"/>
        <v>28398.933333333334</v>
      </c>
      <c r="E218" s="1">
        <f t="shared" si="244"/>
        <v>1</v>
      </c>
      <c r="F218">
        <f t="shared" si="245"/>
        <v>9.613037109375E-3</v>
      </c>
      <c r="G218">
        <f t="shared" si="241"/>
        <v>1744830464</v>
      </c>
      <c r="H218">
        <f t="shared" si="236"/>
        <v>134217728</v>
      </c>
      <c r="I218">
        <f t="shared" si="240"/>
        <v>425984</v>
      </c>
      <c r="J218">
        <f t="shared" si="247"/>
        <v>1786706395136</v>
      </c>
      <c r="K218">
        <f t="shared" si="248"/>
        <v>1024</v>
      </c>
      <c r="L218" s="1">
        <f t="shared" si="249"/>
        <v>0</v>
      </c>
      <c r="M218" s="1">
        <f t="shared" si="250"/>
        <v>7.6923076349955335E-2</v>
      </c>
      <c r="N218">
        <f t="shared" si="251"/>
        <v>425984</v>
      </c>
      <c r="O218">
        <f t="shared" si="238"/>
        <v>67108864</v>
      </c>
      <c r="P218">
        <f t="shared" si="252"/>
        <v>0</v>
      </c>
      <c r="Q218">
        <f t="shared" si="253"/>
        <v>0</v>
      </c>
      <c r="S218">
        <f t="shared" si="254"/>
        <v>0</v>
      </c>
    </row>
    <row r="219" spans="2:19">
      <c r="B219">
        <f t="shared" si="255"/>
        <v>4194304</v>
      </c>
      <c r="D219">
        <f t="shared" si="243"/>
        <v>30583.466666666667</v>
      </c>
      <c r="E219" s="1">
        <f t="shared" si="244"/>
        <v>1</v>
      </c>
      <c r="F219">
        <f t="shared" si="245"/>
        <v>8.9263916015625E-3</v>
      </c>
      <c r="G219">
        <f t="shared" si="241"/>
        <v>1879048192</v>
      </c>
      <c r="H219">
        <f t="shared" si="236"/>
        <v>134217728</v>
      </c>
      <c r="I219">
        <f t="shared" si="240"/>
        <v>458752</v>
      </c>
      <c r="J219">
        <f t="shared" si="247"/>
        <v>1924145348608</v>
      </c>
      <c r="K219">
        <f t="shared" si="248"/>
        <v>1024</v>
      </c>
      <c r="L219" s="1">
        <f t="shared" si="249"/>
        <v>0</v>
      </c>
      <c r="M219" s="1">
        <f t="shared" si="250"/>
        <v>7.14285708963871E-2</v>
      </c>
      <c r="N219">
        <f t="shared" si="251"/>
        <v>458752</v>
      </c>
      <c r="O219">
        <f t="shared" si="238"/>
        <v>134217728</v>
      </c>
      <c r="P219">
        <f t="shared" si="252"/>
        <v>0</v>
      </c>
      <c r="Q219">
        <f t="shared" si="253"/>
        <v>0</v>
      </c>
      <c r="S219">
        <f t="shared" si="254"/>
        <v>0</v>
      </c>
    </row>
    <row r="220" spans="2:19">
      <c r="B220">
        <f t="shared" si="255"/>
        <v>4194304</v>
      </c>
      <c r="D220">
        <f t="shared" si="243"/>
        <v>32768</v>
      </c>
      <c r="E220" s="1">
        <f t="shared" si="244"/>
        <v>1</v>
      </c>
      <c r="F220">
        <f t="shared" si="245"/>
        <v>8.331298828125E-3</v>
      </c>
      <c r="G220">
        <f t="shared" si="241"/>
        <v>2013265920</v>
      </c>
      <c r="H220">
        <f t="shared" si="236"/>
        <v>134217728</v>
      </c>
      <c r="I220">
        <f t="shared" si="240"/>
        <v>491520</v>
      </c>
      <c r="J220">
        <f t="shared" si="247"/>
        <v>2061584302080</v>
      </c>
      <c r="K220">
        <f t="shared" si="248"/>
        <v>1024</v>
      </c>
      <c r="L220" s="1">
        <f t="shared" si="249"/>
        <v>0</v>
      </c>
      <c r="M220" s="1">
        <f t="shared" si="250"/>
        <v>6.6666666169961294E-2</v>
      </c>
      <c r="N220">
        <f t="shared" si="251"/>
        <v>491520</v>
      </c>
      <c r="O220">
        <f t="shared" si="238"/>
        <v>67108864</v>
      </c>
      <c r="P220">
        <f t="shared" si="252"/>
        <v>0</v>
      </c>
      <c r="Q220">
        <f t="shared" si="253"/>
        <v>0</v>
      </c>
      <c r="S220">
        <f t="shared" si="254"/>
        <v>0</v>
      </c>
    </row>
    <row r="221" spans="2:19">
      <c r="B221">
        <f t="shared" si="255"/>
        <v>4194304</v>
      </c>
      <c r="D221">
        <f t="shared" si="243"/>
        <v>34952.533333333333</v>
      </c>
      <c r="E221" s="1">
        <f t="shared" si="244"/>
        <v>1</v>
      </c>
      <c r="F221">
        <f t="shared" si="245"/>
        <v>7.8105926513671875E-3</v>
      </c>
      <c r="G221">
        <f t="shared" si="241"/>
        <v>2147483648</v>
      </c>
      <c r="H221">
        <f t="shared" si="236"/>
        <v>134217728</v>
      </c>
      <c r="I221">
        <f t="shared" si="240"/>
        <v>524288</v>
      </c>
      <c r="J221">
        <f t="shared" si="247"/>
        <v>2199023255552</v>
      </c>
      <c r="K221">
        <f t="shared" si="248"/>
        <v>1024</v>
      </c>
      <c r="L221" s="1">
        <f t="shared" si="249"/>
        <v>0</v>
      </c>
      <c r="M221" s="1">
        <f t="shared" si="250"/>
        <v>6.2499999534338713E-2</v>
      </c>
      <c r="N221">
        <f t="shared" si="251"/>
        <v>524288</v>
      </c>
      <c r="O221">
        <f t="shared" si="238"/>
        <v>2147483648</v>
      </c>
      <c r="P221">
        <f t="shared" si="252"/>
        <v>0</v>
      </c>
      <c r="Q221">
        <f t="shared" si="253"/>
        <v>0</v>
      </c>
      <c r="S221">
        <f t="shared" si="254"/>
        <v>0</v>
      </c>
    </row>
    <row r="222" spans="2:19">
      <c r="B222">
        <f t="shared" si="255"/>
        <v>4194304</v>
      </c>
      <c r="D222">
        <f t="shared" si="243"/>
        <v>39321.599999999999</v>
      </c>
      <c r="E222" s="1">
        <f t="shared" si="244"/>
        <v>1</v>
      </c>
      <c r="F222">
        <f t="shared" si="245"/>
        <v>6.9427490234375E-3</v>
      </c>
      <c r="G222">
        <f t="shared" si="241"/>
        <v>2415919104</v>
      </c>
      <c r="H222">
        <f t="shared" ref="H222" si="259">H214*2</f>
        <v>268435456</v>
      </c>
      <c r="I222">
        <f t="shared" si="240"/>
        <v>589824</v>
      </c>
      <c r="J222">
        <f t="shared" si="247"/>
        <v>2473901162496</v>
      </c>
      <c r="K222">
        <f t="shared" si="248"/>
        <v>1024</v>
      </c>
      <c r="L222" s="1">
        <f t="shared" si="249"/>
        <v>0</v>
      </c>
      <c r="M222" s="1">
        <f t="shared" si="250"/>
        <v>0.11111111069718997</v>
      </c>
      <c r="N222">
        <f t="shared" si="251"/>
        <v>589824</v>
      </c>
      <c r="O222">
        <f t="shared" si="238"/>
        <v>134217728</v>
      </c>
      <c r="P222">
        <f t="shared" si="252"/>
        <v>0</v>
      </c>
      <c r="Q222">
        <f t="shared" si="253"/>
        <v>0</v>
      </c>
      <c r="S222">
        <f t="shared" si="254"/>
        <v>0</v>
      </c>
    </row>
    <row r="223" spans="2:19">
      <c r="B223">
        <f t="shared" si="255"/>
        <v>4194304</v>
      </c>
      <c r="D223">
        <f t="shared" si="243"/>
        <v>43690.666666666664</v>
      </c>
      <c r="E223" s="1">
        <f t="shared" si="244"/>
        <v>1</v>
      </c>
      <c r="F223">
        <f t="shared" si="245"/>
        <v>6.24847412109375E-3</v>
      </c>
      <c r="G223">
        <f t="shared" si="241"/>
        <v>2684354560</v>
      </c>
      <c r="H223">
        <f t="shared" ref="H223:H285" si="260">H222</f>
        <v>268435456</v>
      </c>
      <c r="I223">
        <f t="shared" si="240"/>
        <v>655360</v>
      </c>
      <c r="J223">
        <f t="shared" si="247"/>
        <v>2748779069440</v>
      </c>
      <c r="K223">
        <f t="shared" si="248"/>
        <v>1024</v>
      </c>
      <c r="L223" s="1">
        <f t="shared" si="249"/>
        <v>0</v>
      </c>
      <c r="M223" s="1">
        <f t="shared" si="250"/>
        <v>9.999999962747097E-2</v>
      </c>
      <c r="N223">
        <f t="shared" si="251"/>
        <v>655360</v>
      </c>
      <c r="O223">
        <f t="shared" si="238"/>
        <v>268435456</v>
      </c>
      <c r="P223">
        <f t="shared" si="252"/>
        <v>0</v>
      </c>
      <c r="Q223">
        <f t="shared" si="253"/>
        <v>0</v>
      </c>
      <c r="S223">
        <f t="shared" si="254"/>
        <v>0</v>
      </c>
    </row>
    <row r="224" spans="2:19">
      <c r="B224">
        <f t="shared" si="255"/>
        <v>4194304</v>
      </c>
      <c r="D224">
        <f t="shared" si="243"/>
        <v>48059.73333333333</v>
      </c>
      <c r="E224" s="1">
        <f t="shared" si="244"/>
        <v>1</v>
      </c>
      <c r="F224">
        <f t="shared" si="245"/>
        <v>5.680431019176136E-3</v>
      </c>
      <c r="G224">
        <f t="shared" si="241"/>
        <v>2952790016</v>
      </c>
      <c r="H224">
        <f t="shared" si="260"/>
        <v>268435456</v>
      </c>
      <c r="I224">
        <f t="shared" si="240"/>
        <v>720896</v>
      </c>
      <c r="J224">
        <f t="shared" si="247"/>
        <v>3023656976384</v>
      </c>
      <c r="K224">
        <f t="shared" si="248"/>
        <v>1024</v>
      </c>
      <c r="L224" s="1">
        <f t="shared" si="249"/>
        <v>0</v>
      </c>
      <c r="M224" s="1">
        <f t="shared" si="250"/>
        <v>9.0909090570428161E-2</v>
      </c>
      <c r="N224">
        <f t="shared" si="251"/>
        <v>720896</v>
      </c>
      <c r="O224">
        <f t="shared" si="238"/>
        <v>134217728</v>
      </c>
      <c r="P224">
        <f t="shared" si="252"/>
        <v>0</v>
      </c>
      <c r="Q224">
        <f t="shared" si="253"/>
        <v>0</v>
      </c>
      <c r="S224">
        <f t="shared" si="254"/>
        <v>0</v>
      </c>
    </row>
    <row r="225" spans="2:19">
      <c r="B225">
        <f t="shared" si="255"/>
        <v>4194304</v>
      </c>
      <c r="D225">
        <f t="shared" si="243"/>
        <v>52428.800000000003</v>
      </c>
      <c r="E225" s="1">
        <f t="shared" si="244"/>
        <v>1</v>
      </c>
      <c r="F225">
        <f t="shared" si="245"/>
        <v>5.207061767578125E-3</v>
      </c>
      <c r="G225">
        <f t="shared" si="241"/>
        <v>3221225472</v>
      </c>
      <c r="H225">
        <f t="shared" si="260"/>
        <v>268435456</v>
      </c>
      <c r="I225">
        <f t="shared" si="240"/>
        <v>786432</v>
      </c>
      <c r="J225">
        <f t="shared" si="247"/>
        <v>3298534883328</v>
      </c>
      <c r="K225">
        <f t="shared" si="248"/>
        <v>1024</v>
      </c>
      <c r="L225" s="1">
        <f t="shared" si="249"/>
        <v>0</v>
      </c>
      <c r="M225" s="1">
        <f t="shared" si="250"/>
        <v>8.3333333022892475E-2</v>
      </c>
      <c r="N225">
        <f t="shared" si="251"/>
        <v>786432</v>
      </c>
      <c r="O225">
        <f t="shared" si="238"/>
        <v>536870912</v>
      </c>
      <c r="P225">
        <f t="shared" si="252"/>
        <v>0</v>
      </c>
      <c r="Q225">
        <f t="shared" si="253"/>
        <v>0</v>
      </c>
      <c r="S225">
        <f t="shared" si="254"/>
        <v>0</v>
      </c>
    </row>
    <row r="226" spans="2:19">
      <c r="B226">
        <f t="shared" si="255"/>
        <v>4194304</v>
      </c>
      <c r="D226">
        <f t="shared" si="243"/>
        <v>56797.866666666669</v>
      </c>
      <c r="E226" s="1">
        <f t="shared" si="244"/>
        <v>1</v>
      </c>
      <c r="F226">
        <f t="shared" si="245"/>
        <v>4.8065185546875E-3</v>
      </c>
      <c r="G226">
        <f t="shared" si="241"/>
        <v>3489660928</v>
      </c>
      <c r="H226">
        <f t="shared" si="260"/>
        <v>268435456</v>
      </c>
      <c r="I226">
        <f t="shared" si="240"/>
        <v>851968</v>
      </c>
      <c r="J226">
        <f t="shared" si="247"/>
        <v>3573412790272</v>
      </c>
      <c r="K226">
        <f t="shared" si="248"/>
        <v>1024</v>
      </c>
      <c r="L226" s="1">
        <f t="shared" si="249"/>
        <v>0</v>
      </c>
      <c r="M226" s="1">
        <f t="shared" si="250"/>
        <v>7.6923076636516124E-2</v>
      </c>
      <c r="N226">
        <f t="shared" si="251"/>
        <v>851968</v>
      </c>
      <c r="O226">
        <f t="shared" si="238"/>
        <v>134217728</v>
      </c>
      <c r="P226">
        <f t="shared" si="252"/>
        <v>0</v>
      </c>
      <c r="Q226">
        <f t="shared" si="253"/>
        <v>0</v>
      </c>
      <c r="S226">
        <f t="shared" si="254"/>
        <v>0</v>
      </c>
    </row>
    <row r="227" spans="2:19">
      <c r="B227">
        <f t="shared" si="255"/>
        <v>4194304</v>
      </c>
      <c r="D227">
        <f t="shared" si="243"/>
        <v>61166.933333333334</v>
      </c>
      <c r="E227" s="1">
        <f t="shared" si="244"/>
        <v>1</v>
      </c>
      <c r="F227">
        <f t="shared" si="245"/>
        <v>4.46319580078125E-3</v>
      </c>
      <c r="G227">
        <f t="shared" si="241"/>
        <v>3758096384</v>
      </c>
      <c r="H227">
        <f t="shared" si="260"/>
        <v>268435456</v>
      </c>
      <c r="I227">
        <f t="shared" si="240"/>
        <v>917504</v>
      </c>
      <c r="J227">
        <f t="shared" si="247"/>
        <v>3848290697216</v>
      </c>
      <c r="K227">
        <f t="shared" si="248"/>
        <v>1024</v>
      </c>
      <c r="L227" s="1">
        <f t="shared" si="249"/>
        <v>0</v>
      </c>
      <c r="M227" s="1">
        <f t="shared" si="250"/>
        <v>7.1428571162479262E-2</v>
      </c>
      <c r="N227">
        <f t="shared" si="251"/>
        <v>917504</v>
      </c>
      <c r="O227">
        <f t="shared" si="238"/>
        <v>268435456</v>
      </c>
      <c r="P227">
        <f t="shared" si="252"/>
        <v>0</v>
      </c>
      <c r="Q227">
        <f t="shared" si="253"/>
        <v>0</v>
      </c>
      <c r="S227">
        <f t="shared" si="254"/>
        <v>0</v>
      </c>
    </row>
    <row r="228" spans="2:19">
      <c r="B228">
        <f t="shared" si="255"/>
        <v>4194304</v>
      </c>
      <c r="D228">
        <f t="shared" si="243"/>
        <v>65536</v>
      </c>
      <c r="E228" s="1">
        <f t="shared" si="244"/>
        <v>1</v>
      </c>
      <c r="F228">
        <f t="shared" si="245"/>
        <v>4.1656494140625E-3</v>
      </c>
      <c r="G228">
        <f t="shared" si="241"/>
        <v>4026531840</v>
      </c>
      <c r="H228">
        <f t="shared" si="260"/>
        <v>268435456</v>
      </c>
      <c r="I228">
        <f t="shared" si="240"/>
        <v>983040</v>
      </c>
      <c r="J228">
        <f t="shared" si="247"/>
        <v>4123168604160</v>
      </c>
      <c r="K228">
        <f t="shared" si="248"/>
        <v>1024</v>
      </c>
      <c r="L228" s="1">
        <f t="shared" si="249"/>
        <v>0</v>
      </c>
      <c r="M228" s="1">
        <f t="shared" si="250"/>
        <v>6.666666641831398E-2</v>
      </c>
      <c r="N228">
        <f t="shared" si="251"/>
        <v>983040</v>
      </c>
      <c r="O228">
        <f t="shared" si="238"/>
        <v>134217728</v>
      </c>
      <c r="P228">
        <f t="shared" si="252"/>
        <v>0</v>
      </c>
      <c r="Q228">
        <f t="shared" si="253"/>
        <v>0</v>
      </c>
      <c r="S228">
        <f t="shared" si="254"/>
        <v>0</v>
      </c>
    </row>
    <row r="229" spans="2:19">
      <c r="B229">
        <f t="shared" si="255"/>
        <v>4194304</v>
      </c>
      <c r="D229">
        <f t="shared" si="243"/>
        <v>69905.066666666666</v>
      </c>
      <c r="E229" s="1">
        <f t="shared" si="244"/>
        <v>1</v>
      </c>
      <c r="F229">
        <f t="shared" si="245"/>
        <v>3.9052963256835938E-3</v>
      </c>
      <c r="G229">
        <f t="shared" si="241"/>
        <v>4294967296</v>
      </c>
      <c r="H229">
        <f t="shared" si="260"/>
        <v>268435456</v>
      </c>
      <c r="I229">
        <f t="shared" si="240"/>
        <v>1048576</v>
      </c>
      <c r="J229">
        <f t="shared" si="247"/>
        <v>4398046511104</v>
      </c>
      <c r="K229">
        <f t="shared" si="248"/>
        <v>1024</v>
      </c>
      <c r="L229" s="1">
        <f t="shared" si="249"/>
        <v>0</v>
      </c>
      <c r="M229" s="1">
        <f t="shared" si="250"/>
        <v>6.2499999767169356E-2</v>
      </c>
      <c r="N229">
        <f t="shared" si="251"/>
        <v>1048576</v>
      </c>
      <c r="O229">
        <f t="shared" si="238"/>
        <v>4294967296</v>
      </c>
      <c r="P229">
        <f t="shared" si="252"/>
        <v>0</v>
      </c>
      <c r="Q229">
        <f t="shared" si="253"/>
        <v>0</v>
      </c>
      <c r="S229">
        <f t="shared" si="254"/>
        <v>0</v>
      </c>
    </row>
    <row r="230" spans="2:19">
      <c r="B230">
        <f t="shared" si="255"/>
        <v>4194304</v>
      </c>
      <c r="D230">
        <f t="shared" si="243"/>
        <v>78643.199999999997</v>
      </c>
      <c r="E230" s="1">
        <f t="shared" si="244"/>
        <v>1</v>
      </c>
      <c r="F230">
        <f t="shared" si="245"/>
        <v>3.47137451171875E-3</v>
      </c>
      <c r="G230">
        <f t="shared" si="241"/>
        <v>4831838208</v>
      </c>
      <c r="H230">
        <f t="shared" ref="H230" si="261">H222*2</f>
        <v>536870912</v>
      </c>
      <c r="I230">
        <f t="shared" si="240"/>
        <v>1179648</v>
      </c>
      <c r="J230">
        <f t="shared" si="247"/>
        <v>4947802324992</v>
      </c>
      <c r="K230">
        <f t="shared" si="248"/>
        <v>1024</v>
      </c>
      <c r="L230" s="1">
        <f t="shared" si="249"/>
        <v>0</v>
      </c>
      <c r="M230" s="1">
        <f t="shared" si="250"/>
        <v>0.11111111090415055</v>
      </c>
      <c r="N230">
        <f t="shared" si="251"/>
        <v>1179648</v>
      </c>
      <c r="O230">
        <f t="shared" ref="O230:O293" si="262">O222*2</f>
        <v>268435456</v>
      </c>
      <c r="P230">
        <f t="shared" si="252"/>
        <v>0</v>
      </c>
      <c r="Q230">
        <f t="shared" si="253"/>
        <v>0</v>
      </c>
      <c r="S230">
        <f t="shared" si="254"/>
        <v>0</v>
      </c>
    </row>
    <row r="231" spans="2:19">
      <c r="B231">
        <f t="shared" si="255"/>
        <v>4194304</v>
      </c>
      <c r="D231">
        <f t="shared" si="243"/>
        <v>87381.333333333328</v>
      </c>
      <c r="E231" s="1">
        <f t="shared" si="244"/>
        <v>1</v>
      </c>
      <c r="F231">
        <f t="shared" si="245"/>
        <v>3.124237060546875E-3</v>
      </c>
      <c r="G231">
        <f t="shared" si="241"/>
        <v>5368709120</v>
      </c>
      <c r="H231">
        <f t="shared" si="260"/>
        <v>536870912</v>
      </c>
      <c r="I231">
        <f t="shared" si="240"/>
        <v>1310720</v>
      </c>
      <c r="J231">
        <f t="shared" si="247"/>
        <v>5497558138880</v>
      </c>
      <c r="K231">
        <f t="shared" si="248"/>
        <v>1024</v>
      </c>
      <c r="L231" s="1">
        <f t="shared" si="249"/>
        <v>0</v>
      </c>
      <c r="M231" s="1">
        <f t="shared" si="250"/>
        <v>9.9999999813735488E-2</v>
      </c>
      <c r="N231">
        <f t="shared" si="251"/>
        <v>1310720</v>
      </c>
      <c r="O231">
        <f t="shared" si="262"/>
        <v>536870912</v>
      </c>
      <c r="P231">
        <f t="shared" si="252"/>
        <v>0</v>
      </c>
      <c r="Q231">
        <f t="shared" si="253"/>
        <v>0</v>
      </c>
      <c r="S231">
        <f t="shared" si="254"/>
        <v>0</v>
      </c>
    </row>
    <row r="232" spans="2:19">
      <c r="B232">
        <f t="shared" si="255"/>
        <v>4194304</v>
      </c>
      <c r="D232">
        <f t="shared" si="243"/>
        <v>96119.46666666666</v>
      </c>
      <c r="E232" s="1">
        <f t="shared" si="244"/>
        <v>1</v>
      </c>
      <c r="F232">
        <f t="shared" si="245"/>
        <v>2.840215509588068E-3</v>
      </c>
      <c r="G232">
        <f t="shared" si="241"/>
        <v>5905580032</v>
      </c>
      <c r="H232">
        <f t="shared" si="260"/>
        <v>536870912</v>
      </c>
      <c r="I232">
        <f t="shared" si="240"/>
        <v>1441792</v>
      </c>
      <c r="J232">
        <f t="shared" si="247"/>
        <v>6047313952768</v>
      </c>
      <c r="K232">
        <f t="shared" si="248"/>
        <v>1024</v>
      </c>
      <c r="L232" s="1">
        <f t="shared" si="249"/>
        <v>0</v>
      </c>
      <c r="M232" s="1">
        <f t="shared" si="250"/>
        <v>9.0909090739759529E-2</v>
      </c>
      <c r="N232">
        <f t="shared" si="251"/>
        <v>1441792</v>
      </c>
      <c r="O232">
        <f t="shared" si="262"/>
        <v>268435456</v>
      </c>
      <c r="P232">
        <f t="shared" si="252"/>
        <v>0</v>
      </c>
      <c r="Q232">
        <f t="shared" si="253"/>
        <v>0</v>
      </c>
      <c r="S232">
        <f t="shared" si="254"/>
        <v>0</v>
      </c>
    </row>
    <row r="233" spans="2:19">
      <c r="B233">
        <f t="shared" si="255"/>
        <v>4194304</v>
      </c>
      <c r="D233">
        <f t="shared" si="243"/>
        <v>104857.60000000001</v>
      </c>
      <c r="E233" s="1">
        <f t="shared" si="244"/>
        <v>1</v>
      </c>
      <c r="F233">
        <f t="shared" si="245"/>
        <v>2.6035308837890625E-3</v>
      </c>
      <c r="G233">
        <f t="shared" si="241"/>
        <v>6442450944</v>
      </c>
      <c r="H233">
        <f t="shared" si="260"/>
        <v>536870912</v>
      </c>
      <c r="I233">
        <f t="shared" si="240"/>
        <v>1572864</v>
      </c>
      <c r="J233">
        <f t="shared" si="247"/>
        <v>6597069766656</v>
      </c>
      <c r="K233">
        <f t="shared" si="248"/>
        <v>1024</v>
      </c>
      <c r="L233" s="1">
        <f t="shared" si="249"/>
        <v>0</v>
      </c>
      <c r="M233" s="1">
        <f t="shared" si="250"/>
        <v>8.3333333178112909E-2</v>
      </c>
      <c r="N233">
        <f t="shared" si="251"/>
        <v>1572864</v>
      </c>
      <c r="O233">
        <f t="shared" si="262"/>
        <v>1073741824</v>
      </c>
      <c r="P233">
        <f t="shared" si="252"/>
        <v>0</v>
      </c>
      <c r="Q233">
        <f t="shared" si="253"/>
        <v>0</v>
      </c>
      <c r="S233">
        <f t="shared" si="254"/>
        <v>0</v>
      </c>
    </row>
    <row r="234" spans="2:19">
      <c r="B234">
        <f t="shared" si="255"/>
        <v>4194304</v>
      </c>
      <c r="D234">
        <f t="shared" si="243"/>
        <v>113595.73333333334</v>
      </c>
      <c r="E234" s="1">
        <f t="shared" si="244"/>
        <v>1</v>
      </c>
      <c r="F234">
        <f t="shared" si="245"/>
        <v>2.40325927734375E-3</v>
      </c>
      <c r="G234">
        <f t="shared" si="241"/>
        <v>6979321856</v>
      </c>
      <c r="H234">
        <f t="shared" si="260"/>
        <v>536870912</v>
      </c>
      <c r="I234">
        <f t="shared" si="240"/>
        <v>1703936</v>
      </c>
      <c r="J234">
        <f t="shared" si="247"/>
        <v>7146825580544</v>
      </c>
      <c r="K234">
        <f t="shared" si="248"/>
        <v>1024</v>
      </c>
      <c r="L234" s="1">
        <f t="shared" si="249"/>
        <v>0</v>
      </c>
      <c r="M234" s="1">
        <f t="shared" si="250"/>
        <v>7.6923076779796526E-2</v>
      </c>
      <c r="N234">
        <f t="shared" si="251"/>
        <v>1703936</v>
      </c>
      <c r="O234">
        <f t="shared" si="262"/>
        <v>268435456</v>
      </c>
      <c r="P234">
        <f t="shared" si="252"/>
        <v>0</v>
      </c>
      <c r="Q234">
        <f t="shared" si="253"/>
        <v>0</v>
      </c>
      <c r="S234">
        <f t="shared" si="254"/>
        <v>0</v>
      </c>
    </row>
    <row r="235" spans="2:19">
      <c r="B235">
        <f t="shared" si="255"/>
        <v>4194304</v>
      </c>
      <c r="D235">
        <f t="shared" si="243"/>
        <v>122333.86666666667</v>
      </c>
      <c r="E235" s="1">
        <f t="shared" si="244"/>
        <v>1</v>
      </c>
      <c r="F235">
        <f t="shared" si="245"/>
        <v>2.231597900390625E-3</v>
      </c>
      <c r="G235">
        <f t="shared" si="241"/>
        <v>7516192768</v>
      </c>
      <c r="H235">
        <f t="shared" si="260"/>
        <v>536870912</v>
      </c>
      <c r="I235">
        <f t="shared" si="240"/>
        <v>1835008</v>
      </c>
      <c r="J235">
        <f t="shared" si="247"/>
        <v>7696581394432</v>
      </c>
      <c r="K235">
        <f t="shared" si="248"/>
        <v>1024</v>
      </c>
      <c r="L235" s="1">
        <f t="shared" si="249"/>
        <v>0</v>
      </c>
      <c r="M235" s="1">
        <f t="shared" si="250"/>
        <v>7.142857129552535E-2</v>
      </c>
      <c r="N235">
        <f t="shared" si="251"/>
        <v>1835008</v>
      </c>
      <c r="O235">
        <f t="shared" si="262"/>
        <v>536870912</v>
      </c>
      <c r="P235">
        <f t="shared" si="252"/>
        <v>0</v>
      </c>
      <c r="Q235">
        <f t="shared" si="253"/>
        <v>0</v>
      </c>
      <c r="S235">
        <f t="shared" si="254"/>
        <v>0</v>
      </c>
    </row>
    <row r="236" spans="2:19">
      <c r="B236">
        <f t="shared" si="255"/>
        <v>4194304</v>
      </c>
      <c r="D236">
        <f t="shared" si="243"/>
        <v>131072</v>
      </c>
      <c r="E236" s="1">
        <f t="shared" si="244"/>
        <v>1</v>
      </c>
      <c r="F236">
        <f t="shared" si="245"/>
        <v>2.08282470703125E-3</v>
      </c>
      <c r="G236">
        <f t="shared" si="241"/>
        <v>8053063680</v>
      </c>
      <c r="H236">
        <f t="shared" si="260"/>
        <v>536870912</v>
      </c>
      <c r="I236">
        <f t="shared" si="240"/>
        <v>1966080</v>
      </c>
      <c r="J236">
        <f t="shared" si="247"/>
        <v>8246337208320</v>
      </c>
      <c r="K236">
        <f t="shared" si="248"/>
        <v>1024</v>
      </c>
      <c r="L236" s="1">
        <f t="shared" si="249"/>
        <v>0</v>
      </c>
      <c r="M236" s="1">
        <f t="shared" si="250"/>
        <v>6.666666654249033E-2</v>
      </c>
      <c r="N236">
        <f t="shared" si="251"/>
        <v>1966080</v>
      </c>
      <c r="O236">
        <f t="shared" si="262"/>
        <v>268435456</v>
      </c>
      <c r="P236">
        <f t="shared" si="252"/>
        <v>0</v>
      </c>
      <c r="Q236">
        <f t="shared" si="253"/>
        <v>0</v>
      </c>
      <c r="S236">
        <f t="shared" si="254"/>
        <v>0</v>
      </c>
    </row>
    <row r="237" spans="2:19">
      <c r="B237">
        <f t="shared" si="255"/>
        <v>4194304</v>
      </c>
      <c r="D237">
        <f t="shared" si="243"/>
        <v>139810.13333333333</v>
      </c>
      <c r="E237" s="1">
        <f t="shared" si="244"/>
        <v>1</v>
      </c>
      <c r="F237">
        <f t="shared" si="245"/>
        <v>1.9526481628417969E-3</v>
      </c>
      <c r="G237">
        <f t="shared" si="241"/>
        <v>8589934592</v>
      </c>
      <c r="H237">
        <f t="shared" si="260"/>
        <v>536870912</v>
      </c>
      <c r="I237">
        <f t="shared" si="240"/>
        <v>2097152</v>
      </c>
      <c r="J237">
        <f t="shared" si="247"/>
        <v>8796093022208</v>
      </c>
      <c r="K237">
        <f t="shared" si="248"/>
        <v>1024</v>
      </c>
      <c r="L237" s="1">
        <f t="shared" si="249"/>
        <v>0</v>
      </c>
      <c r="M237" s="1">
        <f t="shared" si="250"/>
        <v>6.2499999883584678E-2</v>
      </c>
      <c r="N237">
        <f t="shared" si="251"/>
        <v>2097152</v>
      </c>
      <c r="O237">
        <f t="shared" si="262"/>
        <v>8589934592</v>
      </c>
      <c r="P237">
        <f t="shared" si="252"/>
        <v>0</v>
      </c>
      <c r="Q237">
        <f t="shared" si="253"/>
        <v>0</v>
      </c>
      <c r="S237">
        <f t="shared" si="254"/>
        <v>0</v>
      </c>
    </row>
    <row r="238" spans="2:19">
      <c r="B238">
        <f t="shared" si="255"/>
        <v>4194304</v>
      </c>
      <c r="D238">
        <f t="shared" si="243"/>
        <v>157286.39999999999</v>
      </c>
      <c r="E238" s="1">
        <f t="shared" si="244"/>
        <v>1</v>
      </c>
      <c r="F238">
        <f t="shared" si="245"/>
        <v>1.735687255859375E-3</v>
      </c>
      <c r="G238">
        <f t="shared" si="241"/>
        <v>9663676416</v>
      </c>
      <c r="H238">
        <f t="shared" ref="H238" si="263">H230*2</f>
        <v>1073741824</v>
      </c>
      <c r="I238">
        <f t="shared" si="240"/>
        <v>2359296</v>
      </c>
      <c r="J238">
        <f t="shared" si="247"/>
        <v>9895604649984</v>
      </c>
      <c r="K238">
        <f t="shared" si="248"/>
        <v>1024</v>
      </c>
      <c r="L238" s="1">
        <f t="shared" si="249"/>
        <v>0</v>
      </c>
      <c r="M238" s="1">
        <f t="shared" si="250"/>
        <v>0.11111111100763083</v>
      </c>
      <c r="N238">
        <f t="shared" si="251"/>
        <v>2359296</v>
      </c>
      <c r="O238">
        <f t="shared" si="262"/>
        <v>536870912</v>
      </c>
      <c r="P238">
        <f t="shared" si="252"/>
        <v>0</v>
      </c>
      <c r="Q238">
        <f t="shared" si="253"/>
        <v>0</v>
      </c>
      <c r="S238">
        <f t="shared" si="254"/>
        <v>0</v>
      </c>
    </row>
    <row r="239" spans="2:19">
      <c r="B239">
        <f t="shared" si="255"/>
        <v>4194304</v>
      </c>
      <c r="D239">
        <f t="shared" si="243"/>
        <v>174762.66666666666</v>
      </c>
      <c r="E239" s="1">
        <f t="shared" si="244"/>
        <v>1</v>
      </c>
      <c r="F239">
        <f t="shared" si="245"/>
        <v>1.5621185302734375E-3</v>
      </c>
      <c r="G239">
        <f t="shared" si="241"/>
        <v>10737418240</v>
      </c>
      <c r="H239">
        <f t="shared" si="260"/>
        <v>1073741824</v>
      </c>
      <c r="I239">
        <f t="shared" ref="I239:I302" si="264">I231*2</f>
        <v>2621440</v>
      </c>
      <c r="J239">
        <f t="shared" si="247"/>
        <v>10995116277760</v>
      </c>
      <c r="K239">
        <f t="shared" si="248"/>
        <v>1024</v>
      </c>
      <c r="L239" s="1">
        <f t="shared" si="249"/>
        <v>0</v>
      </c>
      <c r="M239" s="1">
        <f t="shared" si="250"/>
        <v>9.999999990686774E-2</v>
      </c>
      <c r="N239">
        <f t="shared" si="251"/>
        <v>2621440</v>
      </c>
      <c r="O239">
        <f t="shared" si="262"/>
        <v>1073741824</v>
      </c>
      <c r="P239">
        <f t="shared" si="252"/>
        <v>0</v>
      </c>
      <c r="Q239">
        <f t="shared" si="253"/>
        <v>0</v>
      </c>
      <c r="S239">
        <f t="shared" si="254"/>
        <v>0</v>
      </c>
    </row>
    <row r="240" spans="2:19">
      <c r="B240">
        <f t="shared" si="255"/>
        <v>4194304</v>
      </c>
      <c r="D240">
        <f t="shared" si="243"/>
        <v>192238.93333333332</v>
      </c>
      <c r="E240" s="1">
        <f t="shared" si="244"/>
        <v>1</v>
      </c>
      <c r="F240">
        <f t="shared" si="245"/>
        <v>1.420107754794034E-3</v>
      </c>
      <c r="G240">
        <f t="shared" si="241"/>
        <v>11811160064</v>
      </c>
      <c r="H240">
        <f t="shared" si="260"/>
        <v>1073741824</v>
      </c>
      <c r="I240">
        <f t="shared" si="264"/>
        <v>2883584</v>
      </c>
      <c r="J240">
        <f t="shared" si="247"/>
        <v>12094627905536</v>
      </c>
      <c r="K240">
        <f t="shared" si="248"/>
        <v>1024</v>
      </c>
      <c r="L240" s="1">
        <f t="shared" si="249"/>
        <v>0</v>
      </c>
      <c r="M240" s="1">
        <f t="shared" si="250"/>
        <v>9.090909082442522E-2</v>
      </c>
      <c r="N240">
        <f t="shared" si="251"/>
        <v>2883584</v>
      </c>
      <c r="O240">
        <f t="shared" si="262"/>
        <v>536870912</v>
      </c>
      <c r="P240">
        <f t="shared" si="252"/>
        <v>0</v>
      </c>
      <c r="Q240">
        <f t="shared" si="253"/>
        <v>0</v>
      </c>
      <c r="S240">
        <f t="shared" si="254"/>
        <v>0</v>
      </c>
    </row>
    <row r="241" spans="2:19">
      <c r="B241">
        <f t="shared" si="255"/>
        <v>4194304</v>
      </c>
      <c r="D241">
        <f t="shared" si="243"/>
        <v>209715.20000000001</v>
      </c>
      <c r="E241" s="1">
        <f t="shared" si="244"/>
        <v>1</v>
      </c>
      <c r="F241">
        <f t="shared" si="245"/>
        <v>1.3017654418945312E-3</v>
      </c>
      <c r="G241">
        <f t="shared" si="241"/>
        <v>12884901888</v>
      </c>
      <c r="H241">
        <f t="shared" si="260"/>
        <v>1073741824</v>
      </c>
      <c r="I241">
        <f t="shared" si="264"/>
        <v>3145728</v>
      </c>
      <c r="J241">
        <f t="shared" si="247"/>
        <v>13194139533312</v>
      </c>
      <c r="K241">
        <f t="shared" si="248"/>
        <v>1024</v>
      </c>
      <c r="L241" s="1">
        <f t="shared" si="249"/>
        <v>0</v>
      </c>
      <c r="M241" s="1">
        <f t="shared" si="250"/>
        <v>8.3333333255723119E-2</v>
      </c>
      <c r="N241">
        <f t="shared" si="251"/>
        <v>3145728</v>
      </c>
      <c r="O241">
        <f t="shared" si="262"/>
        <v>2147483648</v>
      </c>
      <c r="P241">
        <f t="shared" si="252"/>
        <v>0</v>
      </c>
      <c r="Q241">
        <f t="shared" si="253"/>
        <v>0</v>
      </c>
      <c r="S241">
        <f t="shared" si="254"/>
        <v>0</v>
      </c>
    </row>
    <row r="242" spans="2:19">
      <c r="B242">
        <f t="shared" si="255"/>
        <v>4194304</v>
      </c>
      <c r="D242">
        <f t="shared" si="243"/>
        <v>227191.46666666667</v>
      </c>
      <c r="E242" s="1">
        <f t="shared" si="244"/>
        <v>1</v>
      </c>
      <c r="F242">
        <f t="shared" si="245"/>
        <v>1.201629638671875E-3</v>
      </c>
      <c r="G242">
        <f t="shared" si="241"/>
        <v>13958643712</v>
      </c>
      <c r="H242">
        <f t="shared" si="260"/>
        <v>1073741824</v>
      </c>
      <c r="I242">
        <f t="shared" si="264"/>
        <v>3407872</v>
      </c>
      <c r="J242">
        <f t="shared" si="247"/>
        <v>14293651161088</v>
      </c>
      <c r="K242">
        <f t="shared" si="248"/>
        <v>1024</v>
      </c>
      <c r="L242" s="1">
        <f t="shared" si="249"/>
        <v>0</v>
      </c>
      <c r="M242" s="1">
        <f t="shared" si="250"/>
        <v>7.692307685143672E-2</v>
      </c>
      <c r="N242">
        <f t="shared" si="251"/>
        <v>3407872</v>
      </c>
      <c r="O242">
        <f t="shared" si="262"/>
        <v>536870912</v>
      </c>
      <c r="P242">
        <f t="shared" si="252"/>
        <v>0</v>
      </c>
      <c r="Q242">
        <f t="shared" si="253"/>
        <v>0</v>
      </c>
      <c r="S242">
        <f t="shared" si="254"/>
        <v>0</v>
      </c>
    </row>
    <row r="243" spans="2:19">
      <c r="B243">
        <f t="shared" si="255"/>
        <v>4194304</v>
      </c>
      <c r="D243">
        <f t="shared" si="243"/>
        <v>244667.73333333334</v>
      </c>
      <c r="E243" s="1">
        <f t="shared" si="244"/>
        <v>1</v>
      </c>
      <c r="F243">
        <f t="shared" si="245"/>
        <v>1.1157989501953125E-3</v>
      </c>
      <c r="G243">
        <f t="shared" si="241"/>
        <v>15032385536</v>
      </c>
      <c r="H243">
        <f t="shared" si="260"/>
        <v>1073741824</v>
      </c>
      <c r="I243">
        <f t="shared" si="264"/>
        <v>3670016</v>
      </c>
      <c r="J243">
        <f t="shared" si="247"/>
        <v>15393162788864</v>
      </c>
      <c r="K243">
        <f t="shared" si="248"/>
        <v>1024</v>
      </c>
      <c r="L243" s="1">
        <f t="shared" si="249"/>
        <v>0</v>
      </c>
      <c r="M243" s="1">
        <f t="shared" si="250"/>
        <v>7.1428571362048388E-2</v>
      </c>
      <c r="N243">
        <f t="shared" si="251"/>
        <v>3670016</v>
      </c>
      <c r="O243">
        <f t="shared" si="262"/>
        <v>1073741824</v>
      </c>
      <c r="P243">
        <f t="shared" si="252"/>
        <v>0</v>
      </c>
      <c r="Q243">
        <f t="shared" si="253"/>
        <v>0</v>
      </c>
      <c r="S243">
        <f t="shared" si="254"/>
        <v>0</v>
      </c>
    </row>
    <row r="244" spans="2:19">
      <c r="B244">
        <f t="shared" si="255"/>
        <v>4194304</v>
      </c>
      <c r="D244">
        <f t="shared" si="243"/>
        <v>262144</v>
      </c>
      <c r="E244" s="1">
        <f t="shared" si="244"/>
        <v>1</v>
      </c>
      <c r="F244">
        <f t="shared" si="245"/>
        <v>1.041412353515625E-3</v>
      </c>
      <c r="G244">
        <f t="shared" si="241"/>
        <v>16106127360</v>
      </c>
      <c r="H244">
        <f t="shared" si="260"/>
        <v>1073741824</v>
      </c>
      <c r="I244">
        <f t="shared" si="264"/>
        <v>3932160</v>
      </c>
      <c r="J244">
        <f t="shared" si="247"/>
        <v>16492674416640</v>
      </c>
      <c r="K244">
        <f t="shared" si="248"/>
        <v>1024</v>
      </c>
      <c r="L244" s="1">
        <f t="shared" si="249"/>
        <v>0</v>
      </c>
      <c r="M244" s="1">
        <f t="shared" si="250"/>
        <v>6.6666666604578498E-2</v>
      </c>
      <c r="N244">
        <f t="shared" si="251"/>
        <v>3932160</v>
      </c>
      <c r="O244">
        <f t="shared" si="262"/>
        <v>536870912</v>
      </c>
      <c r="P244">
        <f t="shared" si="252"/>
        <v>0</v>
      </c>
      <c r="Q244">
        <f t="shared" si="253"/>
        <v>0</v>
      </c>
      <c r="S244">
        <f t="shared" si="254"/>
        <v>0</v>
      </c>
    </row>
    <row r="245" spans="2:19">
      <c r="B245">
        <f t="shared" si="255"/>
        <v>4194304</v>
      </c>
      <c r="D245">
        <f t="shared" si="243"/>
        <v>279620.26666666666</v>
      </c>
      <c r="E245" s="1">
        <f t="shared" si="244"/>
        <v>1</v>
      </c>
      <c r="F245">
        <f t="shared" si="245"/>
        <v>9.7632408142089844E-4</v>
      </c>
      <c r="G245">
        <f t="shared" si="241"/>
        <v>17179869184</v>
      </c>
      <c r="H245">
        <f t="shared" si="260"/>
        <v>1073741824</v>
      </c>
      <c r="I245">
        <f t="shared" si="264"/>
        <v>4194304</v>
      </c>
      <c r="J245">
        <f t="shared" si="247"/>
        <v>17592186044416</v>
      </c>
      <c r="K245">
        <f t="shared" si="248"/>
        <v>1024</v>
      </c>
      <c r="L245" s="1">
        <f t="shared" si="249"/>
        <v>0</v>
      </c>
      <c r="M245" s="1">
        <f t="shared" si="250"/>
        <v>6.2499999941792339E-2</v>
      </c>
      <c r="N245">
        <f t="shared" si="251"/>
        <v>4194304</v>
      </c>
      <c r="O245">
        <f t="shared" si="262"/>
        <v>17179869184</v>
      </c>
      <c r="P245">
        <f t="shared" si="252"/>
        <v>0</v>
      </c>
      <c r="Q245">
        <f t="shared" si="253"/>
        <v>0</v>
      </c>
      <c r="S245">
        <f t="shared" si="254"/>
        <v>0</v>
      </c>
    </row>
    <row r="246" spans="2:19">
      <c r="B246">
        <f t="shared" si="255"/>
        <v>4194304</v>
      </c>
      <c r="D246">
        <f t="shared" si="243"/>
        <v>314572.79999999999</v>
      </c>
      <c r="E246" s="1">
        <f t="shared" si="244"/>
        <v>1</v>
      </c>
      <c r="F246">
        <f t="shared" si="245"/>
        <v>8.678436279296875E-4</v>
      </c>
      <c r="G246">
        <f t="shared" ref="G246:G309" si="265">G245+H246</f>
        <v>19327352832</v>
      </c>
      <c r="H246">
        <f t="shared" ref="H246" si="266">H238*2</f>
        <v>2147483648</v>
      </c>
      <c r="I246">
        <f t="shared" si="264"/>
        <v>4718592</v>
      </c>
      <c r="J246">
        <f t="shared" si="247"/>
        <v>19791209299968</v>
      </c>
      <c r="K246">
        <f t="shared" si="248"/>
        <v>1024</v>
      </c>
      <c r="L246" s="1">
        <f t="shared" si="249"/>
        <v>0</v>
      </c>
      <c r="M246" s="1">
        <f t="shared" si="250"/>
        <v>0.11111111105937096</v>
      </c>
      <c r="N246">
        <f t="shared" si="251"/>
        <v>4718592</v>
      </c>
      <c r="O246">
        <f t="shared" si="262"/>
        <v>1073741824</v>
      </c>
      <c r="P246">
        <f t="shared" si="252"/>
        <v>0</v>
      </c>
      <c r="Q246">
        <f t="shared" si="253"/>
        <v>0</v>
      </c>
      <c r="S246">
        <f t="shared" si="254"/>
        <v>0</v>
      </c>
    </row>
    <row r="247" spans="2:19">
      <c r="B247">
        <f t="shared" si="255"/>
        <v>4194304</v>
      </c>
      <c r="D247">
        <f t="shared" si="243"/>
        <v>349525.33333333331</v>
      </c>
      <c r="E247" s="1">
        <f t="shared" si="244"/>
        <v>1</v>
      </c>
      <c r="F247">
        <f t="shared" si="245"/>
        <v>7.8105926513671875E-4</v>
      </c>
      <c r="G247">
        <f t="shared" si="265"/>
        <v>21474836480</v>
      </c>
      <c r="H247">
        <f t="shared" si="260"/>
        <v>2147483648</v>
      </c>
      <c r="I247">
        <f t="shared" si="264"/>
        <v>5242880</v>
      </c>
      <c r="J247">
        <f t="shared" si="247"/>
        <v>21990232555520</v>
      </c>
      <c r="K247">
        <f t="shared" si="248"/>
        <v>1024</v>
      </c>
      <c r="L247" s="1">
        <f t="shared" si="249"/>
        <v>0</v>
      </c>
      <c r="M247" s="1">
        <f t="shared" si="250"/>
        <v>9.9999999953433866E-2</v>
      </c>
      <c r="N247">
        <f t="shared" si="251"/>
        <v>5242880</v>
      </c>
      <c r="O247">
        <f t="shared" si="262"/>
        <v>2147483648</v>
      </c>
      <c r="P247">
        <f t="shared" si="252"/>
        <v>0</v>
      </c>
      <c r="Q247">
        <f t="shared" si="253"/>
        <v>0</v>
      </c>
      <c r="S247">
        <f t="shared" si="254"/>
        <v>0</v>
      </c>
    </row>
    <row r="248" spans="2:19">
      <c r="B248">
        <f t="shared" si="255"/>
        <v>4194304</v>
      </c>
      <c r="D248">
        <f t="shared" si="243"/>
        <v>384477.86666666664</v>
      </c>
      <c r="E248" s="1">
        <f t="shared" si="244"/>
        <v>1</v>
      </c>
      <c r="F248">
        <f t="shared" si="245"/>
        <v>7.1005387739701701E-4</v>
      </c>
      <c r="G248">
        <f t="shared" si="265"/>
        <v>23622320128</v>
      </c>
      <c r="H248">
        <f t="shared" si="260"/>
        <v>2147483648</v>
      </c>
      <c r="I248">
        <f t="shared" si="264"/>
        <v>5767168</v>
      </c>
      <c r="J248">
        <f t="shared" si="247"/>
        <v>24189255811072</v>
      </c>
      <c r="K248">
        <f t="shared" si="248"/>
        <v>1024</v>
      </c>
      <c r="L248" s="1">
        <f t="shared" si="249"/>
        <v>0</v>
      </c>
      <c r="M248" s="1">
        <f t="shared" si="250"/>
        <v>9.0909090866758066E-2</v>
      </c>
      <c r="N248">
        <f t="shared" si="251"/>
        <v>5767168</v>
      </c>
      <c r="O248">
        <f t="shared" si="262"/>
        <v>1073741824</v>
      </c>
      <c r="P248">
        <f t="shared" si="252"/>
        <v>0</v>
      </c>
      <c r="Q248">
        <f t="shared" si="253"/>
        <v>0</v>
      </c>
      <c r="S248">
        <f t="shared" si="254"/>
        <v>0</v>
      </c>
    </row>
    <row r="249" spans="2:19">
      <c r="B249">
        <f t="shared" si="255"/>
        <v>4194304</v>
      </c>
      <c r="D249">
        <f t="shared" si="243"/>
        <v>419430.40000000002</v>
      </c>
      <c r="E249" s="1">
        <f t="shared" si="244"/>
        <v>1</v>
      </c>
      <c r="F249">
        <f t="shared" si="245"/>
        <v>6.5088272094726562E-4</v>
      </c>
      <c r="G249">
        <f t="shared" si="265"/>
        <v>25769803776</v>
      </c>
      <c r="H249">
        <f t="shared" si="260"/>
        <v>2147483648</v>
      </c>
      <c r="I249">
        <f t="shared" si="264"/>
        <v>6291456</v>
      </c>
      <c r="J249">
        <f t="shared" si="247"/>
        <v>26388279066624</v>
      </c>
      <c r="K249">
        <f t="shared" si="248"/>
        <v>1024</v>
      </c>
      <c r="L249" s="1">
        <f t="shared" si="249"/>
        <v>0</v>
      </c>
      <c r="M249" s="1">
        <f t="shared" si="250"/>
        <v>8.3333333294528231E-2</v>
      </c>
      <c r="N249">
        <f t="shared" si="251"/>
        <v>6291456</v>
      </c>
      <c r="O249">
        <f t="shared" si="262"/>
        <v>4294967296</v>
      </c>
      <c r="P249">
        <f t="shared" si="252"/>
        <v>0</v>
      </c>
      <c r="Q249">
        <f t="shared" si="253"/>
        <v>0</v>
      </c>
      <c r="S249">
        <f t="shared" si="254"/>
        <v>0</v>
      </c>
    </row>
    <row r="250" spans="2:19">
      <c r="B250">
        <f t="shared" si="255"/>
        <v>4194304</v>
      </c>
      <c r="D250">
        <f t="shared" si="243"/>
        <v>454382.93333333335</v>
      </c>
      <c r="E250" s="1">
        <f t="shared" si="244"/>
        <v>1</v>
      </c>
      <c r="F250">
        <f t="shared" si="245"/>
        <v>6.008148193359375E-4</v>
      </c>
      <c r="G250">
        <f t="shared" si="265"/>
        <v>27917287424</v>
      </c>
      <c r="H250">
        <f t="shared" si="260"/>
        <v>2147483648</v>
      </c>
      <c r="I250">
        <f t="shared" si="264"/>
        <v>6815744</v>
      </c>
      <c r="J250">
        <f t="shared" si="247"/>
        <v>28587302322176</v>
      </c>
      <c r="K250">
        <f t="shared" si="248"/>
        <v>1024</v>
      </c>
      <c r="L250" s="1">
        <f t="shared" si="249"/>
        <v>0</v>
      </c>
      <c r="M250" s="1">
        <f t="shared" si="250"/>
        <v>7.692307688725683E-2</v>
      </c>
      <c r="N250">
        <f t="shared" si="251"/>
        <v>6815744</v>
      </c>
      <c r="O250">
        <f t="shared" si="262"/>
        <v>1073741824</v>
      </c>
      <c r="P250">
        <f t="shared" si="252"/>
        <v>0</v>
      </c>
      <c r="Q250">
        <f t="shared" si="253"/>
        <v>0</v>
      </c>
      <c r="S250">
        <f t="shared" si="254"/>
        <v>0</v>
      </c>
    </row>
    <row r="251" spans="2:19">
      <c r="B251">
        <f t="shared" si="255"/>
        <v>4194304</v>
      </c>
      <c r="D251">
        <f t="shared" si="243"/>
        <v>489335.46666666667</v>
      </c>
      <c r="E251" s="1">
        <f t="shared" si="244"/>
        <v>1</v>
      </c>
      <c r="F251">
        <f t="shared" si="245"/>
        <v>5.5789947509765625E-4</v>
      </c>
      <c r="G251">
        <f t="shared" si="265"/>
        <v>30064771072</v>
      </c>
      <c r="H251">
        <f t="shared" si="260"/>
        <v>2147483648</v>
      </c>
      <c r="I251">
        <f t="shared" si="264"/>
        <v>7340032</v>
      </c>
      <c r="J251">
        <f t="shared" si="247"/>
        <v>30786325577728</v>
      </c>
      <c r="K251">
        <f t="shared" si="248"/>
        <v>1024</v>
      </c>
      <c r="L251" s="1">
        <f t="shared" si="249"/>
        <v>0</v>
      </c>
      <c r="M251" s="1">
        <f t="shared" si="250"/>
        <v>7.1428571395309906E-2</v>
      </c>
      <c r="N251">
        <f t="shared" si="251"/>
        <v>7340032</v>
      </c>
      <c r="O251">
        <f t="shared" si="262"/>
        <v>2147483648</v>
      </c>
      <c r="P251">
        <f t="shared" si="252"/>
        <v>0</v>
      </c>
      <c r="Q251">
        <f t="shared" si="253"/>
        <v>0</v>
      </c>
      <c r="S251">
        <f t="shared" si="254"/>
        <v>0</v>
      </c>
    </row>
    <row r="252" spans="2:19">
      <c r="B252">
        <f t="shared" si="255"/>
        <v>4194304</v>
      </c>
      <c r="D252">
        <f t="shared" si="243"/>
        <v>524288</v>
      </c>
      <c r="E252" s="1">
        <f t="shared" si="244"/>
        <v>1</v>
      </c>
      <c r="F252">
        <f t="shared" si="245"/>
        <v>5.207061767578125E-4</v>
      </c>
      <c r="G252">
        <f t="shared" si="265"/>
        <v>32212254720</v>
      </c>
      <c r="H252">
        <f t="shared" si="260"/>
        <v>2147483648</v>
      </c>
      <c r="I252">
        <f t="shared" si="264"/>
        <v>7864320</v>
      </c>
      <c r="J252">
        <f t="shared" si="247"/>
        <v>32985348833280</v>
      </c>
      <c r="K252">
        <f t="shared" si="248"/>
        <v>1024</v>
      </c>
      <c r="L252" s="1">
        <f t="shared" si="249"/>
        <v>0</v>
      </c>
      <c r="M252" s="1">
        <f t="shared" si="250"/>
        <v>6.6666666635622582E-2</v>
      </c>
      <c r="N252">
        <f t="shared" si="251"/>
        <v>7864320</v>
      </c>
      <c r="O252">
        <f t="shared" si="262"/>
        <v>1073741824</v>
      </c>
      <c r="P252">
        <f t="shared" si="252"/>
        <v>0</v>
      </c>
      <c r="Q252">
        <f t="shared" si="253"/>
        <v>0</v>
      </c>
      <c r="S252">
        <f t="shared" si="254"/>
        <v>0</v>
      </c>
    </row>
    <row r="253" spans="2:19">
      <c r="B253">
        <f t="shared" si="255"/>
        <v>4194304</v>
      </c>
      <c r="D253">
        <f t="shared" ref="D253:D316" si="267">I253/15</f>
        <v>559240.53333333333</v>
      </c>
      <c r="E253" s="1">
        <f t="shared" ref="E253:E316" si="268">(F253 - FLOOR(F253,1))/F253</f>
        <v>1</v>
      </c>
      <c r="F253">
        <f t="shared" ref="F253:F316" si="269">$E$22/I253</f>
        <v>4.8816204071044922E-4</v>
      </c>
      <c r="G253">
        <f t="shared" si="265"/>
        <v>34359738368</v>
      </c>
      <c r="H253">
        <f t="shared" si="260"/>
        <v>2147483648</v>
      </c>
      <c r="I253">
        <f t="shared" si="264"/>
        <v>8388608</v>
      </c>
      <c r="J253">
        <f t="shared" si="247"/>
        <v>35184372088832</v>
      </c>
      <c r="K253">
        <f t="shared" si="248"/>
        <v>1024</v>
      </c>
      <c r="L253" s="1">
        <f t="shared" si="249"/>
        <v>0</v>
      </c>
      <c r="M253" s="1">
        <f t="shared" si="250"/>
        <v>6.249999997089617E-2</v>
      </c>
      <c r="N253">
        <f t="shared" si="251"/>
        <v>8388608</v>
      </c>
      <c r="O253">
        <f t="shared" si="262"/>
        <v>34359738368</v>
      </c>
      <c r="P253">
        <f t="shared" si="252"/>
        <v>0</v>
      </c>
      <c r="Q253">
        <f t="shared" si="253"/>
        <v>0</v>
      </c>
      <c r="S253">
        <f t="shared" si="254"/>
        <v>0</v>
      </c>
    </row>
    <row r="254" spans="2:19">
      <c r="B254">
        <f t="shared" si="255"/>
        <v>4194304</v>
      </c>
      <c r="D254">
        <f t="shared" si="267"/>
        <v>629145.59999999998</v>
      </c>
      <c r="E254" s="1">
        <f t="shared" si="268"/>
        <v>1</v>
      </c>
      <c r="F254">
        <f t="shared" si="269"/>
        <v>4.3392181396484375E-4</v>
      </c>
      <c r="G254">
        <f t="shared" si="265"/>
        <v>38654705664</v>
      </c>
      <c r="H254">
        <f t="shared" ref="H254" si="270">H246*2</f>
        <v>4294967296</v>
      </c>
      <c r="I254">
        <f t="shared" si="264"/>
        <v>9437184</v>
      </c>
      <c r="J254">
        <f t="shared" ref="J254:J317" si="271">B254*I254</f>
        <v>39582418599936</v>
      </c>
      <c r="K254">
        <f t="shared" ref="K254:K317" si="272">FLOOR(J254/G254,1)</f>
        <v>1024</v>
      </c>
      <c r="L254" s="1">
        <f t="shared" ref="L254:L317" si="273">(J254-K254*G254)/J254</f>
        <v>0</v>
      </c>
      <c r="M254" s="1">
        <f t="shared" ref="M254:M317" si="274">(G254-(G253+1))/(G254)</f>
        <v>0.11111111108524103</v>
      </c>
      <c r="N254">
        <f t="shared" ref="N254:N317" si="275">J254/B254</f>
        <v>9437184</v>
      </c>
      <c r="O254">
        <f t="shared" si="262"/>
        <v>2147483648</v>
      </c>
      <c r="P254">
        <f t="shared" ref="P254:P317" si="276">J254-G254*K254</f>
        <v>0</v>
      </c>
      <c r="Q254">
        <f t="shared" ref="Q254:Q317" si="277">P254/I254</f>
        <v>0</v>
      </c>
      <c r="S254">
        <f t="shared" ref="S254:S317" si="278">FLOOR((G254 + (B254-1))/B254, 1)*B254 - G254</f>
        <v>0</v>
      </c>
    </row>
    <row r="255" spans="2:19">
      <c r="B255">
        <f t="shared" ref="B255:B318" si="279">B254</f>
        <v>4194304</v>
      </c>
      <c r="D255">
        <f t="shared" si="267"/>
        <v>699050.66666666663</v>
      </c>
      <c r="E255" s="1">
        <f t="shared" si="268"/>
        <v>1</v>
      </c>
      <c r="F255">
        <f t="shared" si="269"/>
        <v>3.9052963256835938E-4</v>
      </c>
      <c r="G255">
        <f t="shared" si="265"/>
        <v>42949672960</v>
      </c>
      <c r="H255">
        <f t="shared" si="260"/>
        <v>4294967296</v>
      </c>
      <c r="I255">
        <f t="shared" si="264"/>
        <v>10485760</v>
      </c>
      <c r="J255">
        <f t="shared" si="271"/>
        <v>43980465111040</v>
      </c>
      <c r="K255">
        <f t="shared" si="272"/>
        <v>1024</v>
      </c>
      <c r="L255" s="1">
        <f t="shared" si="273"/>
        <v>0</v>
      </c>
      <c r="M255" s="1">
        <f t="shared" si="274"/>
        <v>9.9999999976716936E-2</v>
      </c>
      <c r="N255">
        <f t="shared" si="275"/>
        <v>10485760</v>
      </c>
      <c r="O255">
        <f t="shared" si="262"/>
        <v>4294967296</v>
      </c>
      <c r="P255">
        <f t="shared" si="276"/>
        <v>0</v>
      </c>
      <c r="Q255">
        <f t="shared" si="277"/>
        <v>0</v>
      </c>
      <c r="S255">
        <f t="shared" si="278"/>
        <v>0</v>
      </c>
    </row>
    <row r="256" spans="2:19">
      <c r="B256">
        <f t="shared" si="279"/>
        <v>4194304</v>
      </c>
      <c r="D256">
        <f t="shared" si="267"/>
        <v>768955.73333333328</v>
      </c>
      <c r="E256" s="1">
        <f t="shared" si="268"/>
        <v>1</v>
      </c>
      <c r="F256">
        <f t="shared" si="269"/>
        <v>3.550269386985085E-4</v>
      </c>
      <c r="G256">
        <f t="shared" si="265"/>
        <v>47244640256</v>
      </c>
      <c r="H256">
        <f t="shared" si="260"/>
        <v>4294967296</v>
      </c>
      <c r="I256">
        <f t="shared" si="264"/>
        <v>11534336</v>
      </c>
      <c r="J256">
        <f t="shared" si="271"/>
        <v>48378511622144</v>
      </c>
      <c r="K256">
        <f t="shared" si="272"/>
        <v>1024</v>
      </c>
      <c r="L256" s="1">
        <f t="shared" si="273"/>
        <v>0</v>
      </c>
      <c r="M256" s="1">
        <f t="shared" si="274"/>
        <v>9.0909090887924482E-2</v>
      </c>
      <c r="N256">
        <f t="shared" si="275"/>
        <v>11534336</v>
      </c>
      <c r="O256">
        <f t="shared" si="262"/>
        <v>2147483648</v>
      </c>
      <c r="P256">
        <f t="shared" si="276"/>
        <v>0</v>
      </c>
      <c r="Q256">
        <f t="shared" si="277"/>
        <v>0</v>
      </c>
      <c r="S256">
        <f t="shared" si="278"/>
        <v>0</v>
      </c>
    </row>
    <row r="257" spans="2:19">
      <c r="B257">
        <f t="shared" si="279"/>
        <v>4194304</v>
      </c>
      <c r="D257">
        <f t="shared" si="267"/>
        <v>838860.80000000005</v>
      </c>
      <c r="E257" s="1">
        <f t="shared" si="268"/>
        <v>1</v>
      </c>
      <c r="F257">
        <f t="shared" si="269"/>
        <v>3.2544136047363281E-4</v>
      </c>
      <c r="G257">
        <f t="shared" si="265"/>
        <v>51539607552</v>
      </c>
      <c r="H257">
        <f t="shared" si="260"/>
        <v>4294967296</v>
      </c>
      <c r="I257">
        <f t="shared" si="264"/>
        <v>12582912</v>
      </c>
      <c r="J257">
        <f t="shared" si="271"/>
        <v>52776558133248</v>
      </c>
      <c r="K257">
        <f t="shared" si="272"/>
        <v>1024</v>
      </c>
      <c r="L257" s="1">
        <f t="shared" si="273"/>
        <v>0</v>
      </c>
      <c r="M257" s="1">
        <f t="shared" si="274"/>
        <v>8.333333331393078E-2</v>
      </c>
      <c r="N257">
        <f t="shared" si="275"/>
        <v>12582912</v>
      </c>
      <c r="O257">
        <f t="shared" si="262"/>
        <v>8589934592</v>
      </c>
      <c r="P257">
        <f t="shared" si="276"/>
        <v>0</v>
      </c>
      <c r="Q257">
        <f t="shared" si="277"/>
        <v>0</v>
      </c>
      <c r="S257">
        <f t="shared" si="278"/>
        <v>0</v>
      </c>
    </row>
    <row r="258" spans="2:19">
      <c r="B258">
        <f t="shared" si="279"/>
        <v>4194304</v>
      </c>
      <c r="D258">
        <f t="shared" si="267"/>
        <v>908765.8666666667</v>
      </c>
      <c r="E258" s="1">
        <f t="shared" si="268"/>
        <v>1</v>
      </c>
      <c r="F258">
        <f t="shared" si="269"/>
        <v>3.0040740966796875E-4</v>
      </c>
      <c r="G258">
        <f t="shared" si="265"/>
        <v>55834574848</v>
      </c>
      <c r="H258">
        <f t="shared" si="260"/>
        <v>4294967296</v>
      </c>
      <c r="I258">
        <f t="shared" si="264"/>
        <v>13631488</v>
      </c>
      <c r="J258">
        <f t="shared" si="271"/>
        <v>57174604644352</v>
      </c>
      <c r="K258">
        <f t="shared" si="272"/>
        <v>1024</v>
      </c>
      <c r="L258" s="1">
        <f t="shared" si="273"/>
        <v>0</v>
      </c>
      <c r="M258" s="1">
        <f t="shared" si="274"/>
        <v>7.6923076905166879E-2</v>
      </c>
      <c r="N258">
        <f t="shared" si="275"/>
        <v>13631488</v>
      </c>
      <c r="O258">
        <f t="shared" si="262"/>
        <v>2147483648</v>
      </c>
      <c r="P258">
        <f t="shared" si="276"/>
        <v>0</v>
      </c>
      <c r="Q258">
        <f t="shared" si="277"/>
        <v>0</v>
      </c>
      <c r="S258">
        <f t="shared" si="278"/>
        <v>0</v>
      </c>
    </row>
    <row r="259" spans="2:19">
      <c r="B259">
        <f t="shared" si="279"/>
        <v>4194304</v>
      </c>
      <c r="D259">
        <f t="shared" si="267"/>
        <v>978670.93333333335</v>
      </c>
      <c r="E259" s="1">
        <f t="shared" si="268"/>
        <v>1</v>
      </c>
      <c r="F259">
        <f t="shared" si="269"/>
        <v>2.7894973754882812E-4</v>
      </c>
      <c r="G259">
        <f t="shared" si="265"/>
        <v>60129542144</v>
      </c>
      <c r="H259">
        <f t="shared" si="260"/>
        <v>4294967296</v>
      </c>
      <c r="I259">
        <f t="shared" si="264"/>
        <v>14680064</v>
      </c>
      <c r="J259">
        <f t="shared" si="271"/>
        <v>61572651155456</v>
      </c>
      <c r="K259">
        <f t="shared" si="272"/>
        <v>1024</v>
      </c>
      <c r="L259" s="1">
        <f t="shared" si="273"/>
        <v>0</v>
      </c>
      <c r="M259" s="1">
        <f t="shared" si="274"/>
        <v>7.1428571411940672E-2</v>
      </c>
      <c r="N259">
        <f t="shared" si="275"/>
        <v>14680064</v>
      </c>
      <c r="O259">
        <f t="shared" si="262"/>
        <v>4294967296</v>
      </c>
      <c r="P259">
        <f t="shared" si="276"/>
        <v>0</v>
      </c>
      <c r="Q259">
        <f t="shared" si="277"/>
        <v>0</v>
      </c>
      <c r="S259">
        <f t="shared" si="278"/>
        <v>0</v>
      </c>
    </row>
    <row r="260" spans="2:19">
      <c r="B260">
        <f t="shared" si="279"/>
        <v>4194304</v>
      </c>
      <c r="D260">
        <f t="shared" si="267"/>
        <v>1048576</v>
      </c>
      <c r="E260" s="1">
        <f t="shared" si="268"/>
        <v>1</v>
      </c>
      <c r="F260">
        <f t="shared" si="269"/>
        <v>2.6035308837890625E-4</v>
      </c>
      <c r="G260">
        <f t="shared" si="265"/>
        <v>64424509440</v>
      </c>
      <c r="H260">
        <f t="shared" si="260"/>
        <v>4294967296</v>
      </c>
      <c r="I260">
        <f t="shared" si="264"/>
        <v>15728640</v>
      </c>
      <c r="J260">
        <f t="shared" si="271"/>
        <v>65970697666560</v>
      </c>
      <c r="K260">
        <f t="shared" si="272"/>
        <v>1024</v>
      </c>
      <c r="L260" s="1">
        <f t="shared" si="273"/>
        <v>0</v>
      </c>
      <c r="M260" s="1">
        <f t="shared" si="274"/>
        <v>6.6666666651144624E-2</v>
      </c>
      <c r="N260">
        <f t="shared" si="275"/>
        <v>15728640</v>
      </c>
      <c r="O260">
        <f t="shared" si="262"/>
        <v>2147483648</v>
      </c>
      <c r="P260">
        <f t="shared" si="276"/>
        <v>0</v>
      </c>
      <c r="Q260">
        <f t="shared" si="277"/>
        <v>0</v>
      </c>
      <c r="S260">
        <f t="shared" si="278"/>
        <v>0</v>
      </c>
    </row>
    <row r="261" spans="2:19">
      <c r="B261">
        <f t="shared" si="279"/>
        <v>4194304</v>
      </c>
      <c r="D261">
        <f t="shared" si="267"/>
        <v>1118481.0666666667</v>
      </c>
      <c r="E261" s="1">
        <f t="shared" si="268"/>
        <v>1</v>
      </c>
      <c r="F261">
        <f t="shared" si="269"/>
        <v>2.4408102035522461E-4</v>
      </c>
      <c r="G261">
        <f t="shared" si="265"/>
        <v>68719476736</v>
      </c>
      <c r="H261">
        <f t="shared" si="260"/>
        <v>4294967296</v>
      </c>
      <c r="I261">
        <f t="shared" si="264"/>
        <v>16777216</v>
      </c>
      <c r="J261">
        <f t="shared" si="271"/>
        <v>70368744177664</v>
      </c>
      <c r="K261">
        <f t="shared" si="272"/>
        <v>1024</v>
      </c>
      <c r="L261" s="1">
        <f t="shared" si="273"/>
        <v>0</v>
      </c>
      <c r="M261" s="1">
        <f t="shared" si="274"/>
        <v>6.2499999985448085E-2</v>
      </c>
      <c r="N261">
        <f t="shared" si="275"/>
        <v>16777216</v>
      </c>
      <c r="O261">
        <f t="shared" si="262"/>
        <v>68719476736</v>
      </c>
      <c r="P261">
        <f t="shared" si="276"/>
        <v>0</v>
      </c>
      <c r="Q261">
        <f t="shared" si="277"/>
        <v>0</v>
      </c>
      <c r="S261">
        <f t="shared" si="278"/>
        <v>0</v>
      </c>
    </row>
    <row r="262" spans="2:19">
      <c r="B262">
        <f t="shared" si="279"/>
        <v>4194304</v>
      </c>
      <c r="D262">
        <f t="shared" si="267"/>
        <v>1258291.2</v>
      </c>
      <c r="E262" s="1">
        <f t="shared" si="268"/>
        <v>1</v>
      </c>
      <c r="F262">
        <f t="shared" si="269"/>
        <v>2.1696090698242188E-4</v>
      </c>
      <c r="G262">
        <f t="shared" si="265"/>
        <v>77309411328</v>
      </c>
      <c r="H262">
        <f t="shared" ref="H262" si="280">H254*2</f>
        <v>8589934592</v>
      </c>
      <c r="I262">
        <f t="shared" si="264"/>
        <v>18874368</v>
      </c>
      <c r="J262">
        <f t="shared" si="271"/>
        <v>79164837199872</v>
      </c>
      <c r="K262">
        <f t="shared" si="272"/>
        <v>1024</v>
      </c>
      <c r="L262" s="1">
        <f t="shared" si="273"/>
        <v>0</v>
      </c>
      <c r="M262" s="1">
        <f t="shared" si="274"/>
        <v>0.11111111109817608</v>
      </c>
      <c r="N262">
        <f t="shared" si="275"/>
        <v>18874368</v>
      </c>
      <c r="O262">
        <f t="shared" si="262"/>
        <v>4294967296</v>
      </c>
      <c r="P262">
        <f t="shared" si="276"/>
        <v>0</v>
      </c>
      <c r="Q262">
        <f t="shared" si="277"/>
        <v>0</v>
      </c>
      <c r="S262">
        <f t="shared" si="278"/>
        <v>0</v>
      </c>
    </row>
    <row r="263" spans="2:19">
      <c r="B263">
        <f t="shared" si="279"/>
        <v>4194304</v>
      </c>
      <c r="D263">
        <f t="shared" si="267"/>
        <v>1398101.3333333333</v>
      </c>
      <c r="E263" s="1">
        <f t="shared" si="268"/>
        <v>1</v>
      </c>
      <c r="F263">
        <f t="shared" si="269"/>
        <v>1.9526481628417969E-4</v>
      </c>
      <c r="G263">
        <f t="shared" si="265"/>
        <v>85899345920</v>
      </c>
      <c r="H263">
        <f t="shared" si="260"/>
        <v>8589934592</v>
      </c>
      <c r="I263">
        <f t="shared" si="264"/>
        <v>20971520</v>
      </c>
      <c r="J263">
        <f t="shared" si="271"/>
        <v>87960930222080</v>
      </c>
      <c r="K263">
        <f t="shared" si="272"/>
        <v>1024</v>
      </c>
      <c r="L263" s="1">
        <f t="shared" si="273"/>
        <v>0</v>
      </c>
      <c r="M263" s="1">
        <f t="shared" si="274"/>
        <v>9.9999999988358471E-2</v>
      </c>
      <c r="N263">
        <f t="shared" si="275"/>
        <v>20971520</v>
      </c>
      <c r="O263">
        <f t="shared" si="262"/>
        <v>8589934592</v>
      </c>
      <c r="P263">
        <f t="shared" si="276"/>
        <v>0</v>
      </c>
      <c r="Q263">
        <f t="shared" si="277"/>
        <v>0</v>
      </c>
      <c r="S263">
        <f t="shared" si="278"/>
        <v>0</v>
      </c>
    </row>
    <row r="264" spans="2:19">
      <c r="B264">
        <f t="shared" si="279"/>
        <v>4194304</v>
      </c>
      <c r="D264">
        <f t="shared" si="267"/>
        <v>1537911.4666666666</v>
      </c>
      <c r="E264" s="1">
        <f t="shared" si="268"/>
        <v>1</v>
      </c>
      <c r="F264">
        <f t="shared" si="269"/>
        <v>1.7751346934925425E-4</v>
      </c>
      <c r="G264">
        <f t="shared" si="265"/>
        <v>94489280512</v>
      </c>
      <c r="H264">
        <f t="shared" si="260"/>
        <v>8589934592</v>
      </c>
      <c r="I264">
        <f t="shared" si="264"/>
        <v>23068672</v>
      </c>
      <c r="J264">
        <f t="shared" si="271"/>
        <v>96757023244288</v>
      </c>
      <c r="K264">
        <f t="shared" si="272"/>
        <v>1024</v>
      </c>
      <c r="L264" s="1">
        <f t="shared" si="273"/>
        <v>0</v>
      </c>
      <c r="M264" s="1">
        <f t="shared" si="274"/>
        <v>9.0909090898507697E-2</v>
      </c>
      <c r="N264">
        <f t="shared" si="275"/>
        <v>23068672</v>
      </c>
      <c r="O264">
        <f t="shared" si="262"/>
        <v>4294967296</v>
      </c>
      <c r="P264">
        <f t="shared" si="276"/>
        <v>0</v>
      </c>
      <c r="Q264">
        <f t="shared" si="277"/>
        <v>0</v>
      </c>
      <c r="S264">
        <f t="shared" si="278"/>
        <v>0</v>
      </c>
    </row>
    <row r="265" spans="2:19">
      <c r="B265">
        <f t="shared" si="279"/>
        <v>4194304</v>
      </c>
      <c r="D265">
        <f t="shared" si="267"/>
        <v>1677721.6000000001</v>
      </c>
      <c r="E265" s="1">
        <f t="shared" si="268"/>
        <v>1</v>
      </c>
      <c r="F265">
        <f t="shared" si="269"/>
        <v>1.6272068023681641E-4</v>
      </c>
      <c r="G265">
        <f t="shared" si="265"/>
        <v>103079215104</v>
      </c>
      <c r="H265">
        <f t="shared" si="260"/>
        <v>8589934592</v>
      </c>
      <c r="I265">
        <f t="shared" si="264"/>
        <v>25165824</v>
      </c>
      <c r="J265">
        <f t="shared" si="271"/>
        <v>105553116266496</v>
      </c>
      <c r="K265">
        <f t="shared" si="272"/>
        <v>1024</v>
      </c>
      <c r="L265" s="1">
        <f t="shared" si="273"/>
        <v>0</v>
      </c>
      <c r="M265" s="1">
        <f t="shared" si="274"/>
        <v>8.3333333323632061E-2</v>
      </c>
      <c r="N265">
        <f t="shared" si="275"/>
        <v>25165824</v>
      </c>
      <c r="O265">
        <f t="shared" si="262"/>
        <v>17179869184</v>
      </c>
      <c r="P265">
        <f t="shared" si="276"/>
        <v>0</v>
      </c>
      <c r="Q265">
        <f t="shared" si="277"/>
        <v>0</v>
      </c>
      <c r="S265">
        <f t="shared" si="278"/>
        <v>0</v>
      </c>
    </row>
    <row r="266" spans="2:19">
      <c r="B266">
        <f t="shared" si="279"/>
        <v>4194304</v>
      </c>
      <c r="D266">
        <f t="shared" si="267"/>
        <v>1817531.7333333334</v>
      </c>
      <c r="E266" s="1">
        <f t="shared" si="268"/>
        <v>1</v>
      </c>
      <c r="F266">
        <f t="shared" si="269"/>
        <v>1.5020370483398438E-4</v>
      </c>
      <c r="G266">
        <f t="shared" si="265"/>
        <v>111669149696</v>
      </c>
      <c r="H266">
        <f t="shared" si="260"/>
        <v>8589934592</v>
      </c>
      <c r="I266">
        <f t="shared" si="264"/>
        <v>27262976</v>
      </c>
      <c r="J266">
        <f t="shared" si="271"/>
        <v>114349209288704</v>
      </c>
      <c r="K266">
        <f t="shared" si="272"/>
        <v>1024</v>
      </c>
      <c r="L266" s="1">
        <f t="shared" si="273"/>
        <v>0</v>
      </c>
      <c r="M266" s="1">
        <f t="shared" si="274"/>
        <v>7.6923076914121896E-2</v>
      </c>
      <c r="N266">
        <f t="shared" si="275"/>
        <v>27262976</v>
      </c>
      <c r="O266">
        <f t="shared" si="262"/>
        <v>4294967296</v>
      </c>
      <c r="P266">
        <f t="shared" si="276"/>
        <v>0</v>
      </c>
      <c r="Q266">
        <f t="shared" si="277"/>
        <v>0</v>
      </c>
      <c r="S266">
        <f t="shared" si="278"/>
        <v>0</v>
      </c>
    </row>
    <row r="267" spans="2:19">
      <c r="B267">
        <f t="shared" si="279"/>
        <v>4194304</v>
      </c>
      <c r="D267">
        <f t="shared" si="267"/>
        <v>1957341.8666666667</v>
      </c>
      <c r="E267" s="1">
        <f t="shared" si="268"/>
        <v>1</v>
      </c>
      <c r="F267">
        <f t="shared" si="269"/>
        <v>1.3947486877441406E-4</v>
      </c>
      <c r="G267">
        <f t="shared" si="265"/>
        <v>120259084288</v>
      </c>
      <c r="H267">
        <f t="shared" si="260"/>
        <v>8589934592</v>
      </c>
      <c r="I267">
        <f t="shared" si="264"/>
        <v>29360128</v>
      </c>
      <c r="J267">
        <f t="shared" si="271"/>
        <v>123145302310912</v>
      </c>
      <c r="K267">
        <f t="shared" si="272"/>
        <v>1024</v>
      </c>
      <c r="L267" s="1">
        <f t="shared" si="273"/>
        <v>0</v>
      </c>
      <c r="M267" s="1">
        <f t="shared" si="274"/>
        <v>7.1428571420256048E-2</v>
      </c>
      <c r="N267">
        <f t="shared" si="275"/>
        <v>29360128</v>
      </c>
      <c r="O267">
        <f t="shared" si="262"/>
        <v>8589934592</v>
      </c>
      <c r="P267">
        <f t="shared" si="276"/>
        <v>0</v>
      </c>
      <c r="Q267">
        <f t="shared" si="277"/>
        <v>0</v>
      </c>
      <c r="S267">
        <f t="shared" si="278"/>
        <v>0</v>
      </c>
    </row>
    <row r="268" spans="2:19">
      <c r="B268">
        <f t="shared" si="279"/>
        <v>4194304</v>
      </c>
      <c r="D268">
        <f t="shared" si="267"/>
        <v>2097152</v>
      </c>
      <c r="E268" s="1">
        <f t="shared" si="268"/>
        <v>1</v>
      </c>
      <c r="F268">
        <f t="shared" si="269"/>
        <v>1.3017654418945312E-4</v>
      </c>
      <c r="G268">
        <f t="shared" si="265"/>
        <v>128849018880</v>
      </c>
      <c r="H268">
        <f t="shared" si="260"/>
        <v>8589934592</v>
      </c>
      <c r="I268">
        <f t="shared" si="264"/>
        <v>31457280</v>
      </c>
      <c r="J268">
        <f t="shared" si="271"/>
        <v>131941395333120</v>
      </c>
      <c r="K268">
        <f t="shared" si="272"/>
        <v>1024</v>
      </c>
      <c r="L268" s="1">
        <f t="shared" si="273"/>
        <v>0</v>
      </c>
      <c r="M268" s="1">
        <f t="shared" si="274"/>
        <v>6.6666666658905652E-2</v>
      </c>
      <c r="N268">
        <f t="shared" si="275"/>
        <v>31457280</v>
      </c>
      <c r="O268">
        <f t="shared" si="262"/>
        <v>4294967296</v>
      </c>
      <c r="P268">
        <f t="shared" si="276"/>
        <v>0</v>
      </c>
      <c r="Q268">
        <f t="shared" si="277"/>
        <v>0</v>
      </c>
      <c r="S268">
        <f t="shared" si="278"/>
        <v>0</v>
      </c>
    </row>
    <row r="269" spans="2:19">
      <c r="B269">
        <f t="shared" si="279"/>
        <v>4194304</v>
      </c>
      <c r="D269">
        <f t="shared" si="267"/>
        <v>2236962.1333333333</v>
      </c>
      <c r="E269" s="1">
        <f t="shared" si="268"/>
        <v>1</v>
      </c>
      <c r="F269">
        <f t="shared" si="269"/>
        <v>1.220405101776123E-4</v>
      </c>
      <c r="G269">
        <f t="shared" si="265"/>
        <v>137438953472</v>
      </c>
      <c r="H269">
        <f t="shared" si="260"/>
        <v>8589934592</v>
      </c>
      <c r="I269">
        <f t="shared" si="264"/>
        <v>33554432</v>
      </c>
      <c r="J269">
        <f t="shared" si="271"/>
        <v>140737488355328</v>
      </c>
      <c r="K269">
        <f t="shared" si="272"/>
        <v>1024</v>
      </c>
      <c r="L269" s="1">
        <f t="shared" si="273"/>
        <v>0</v>
      </c>
      <c r="M269" s="1">
        <f t="shared" si="274"/>
        <v>6.2499999992724042E-2</v>
      </c>
      <c r="N269">
        <f t="shared" si="275"/>
        <v>33554432</v>
      </c>
      <c r="O269">
        <f t="shared" si="262"/>
        <v>137438953472</v>
      </c>
      <c r="P269">
        <f t="shared" si="276"/>
        <v>0</v>
      </c>
      <c r="Q269">
        <f t="shared" si="277"/>
        <v>0</v>
      </c>
      <c r="S269">
        <f t="shared" si="278"/>
        <v>0</v>
      </c>
    </row>
    <row r="270" spans="2:19">
      <c r="B270">
        <f t="shared" si="279"/>
        <v>4194304</v>
      </c>
      <c r="D270">
        <f t="shared" si="267"/>
        <v>2516582.3999999999</v>
      </c>
      <c r="E270" s="1">
        <f t="shared" si="268"/>
        <v>1</v>
      </c>
      <c r="F270">
        <f t="shared" si="269"/>
        <v>1.0848045349121094E-4</v>
      </c>
      <c r="G270">
        <f t="shared" si="265"/>
        <v>154618822656</v>
      </c>
      <c r="H270">
        <f t="shared" ref="H270" si="281">H262*2</f>
        <v>17179869184</v>
      </c>
      <c r="I270">
        <f t="shared" si="264"/>
        <v>37748736</v>
      </c>
      <c r="J270">
        <f t="shared" si="271"/>
        <v>158329674399744</v>
      </c>
      <c r="K270">
        <f t="shared" si="272"/>
        <v>1024</v>
      </c>
      <c r="L270" s="1">
        <f t="shared" si="273"/>
        <v>0</v>
      </c>
      <c r="M270" s="1">
        <f t="shared" si="274"/>
        <v>0.1111111111046436</v>
      </c>
      <c r="N270">
        <f t="shared" si="275"/>
        <v>37748736</v>
      </c>
      <c r="O270">
        <f t="shared" si="262"/>
        <v>8589934592</v>
      </c>
      <c r="P270">
        <f t="shared" si="276"/>
        <v>0</v>
      </c>
      <c r="Q270">
        <f t="shared" si="277"/>
        <v>0</v>
      </c>
      <c r="S270">
        <f t="shared" si="278"/>
        <v>0</v>
      </c>
    </row>
    <row r="271" spans="2:19">
      <c r="B271">
        <f t="shared" si="279"/>
        <v>4194304</v>
      </c>
      <c r="D271">
        <f t="shared" si="267"/>
        <v>2796202.6666666665</v>
      </c>
      <c r="E271" s="1">
        <f t="shared" si="268"/>
        <v>1</v>
      </c>
      <c r="F271">
        <f t="shared" si="269"/>
        <v>9.7632408142089844E-5</v>
      </c>
      <c r="G271">
        <f t="shared" si="265"/>
        <v>171798691840</v>
      </c>
      <c r="H271">
        <f t="shared" si="260"/>
        <v>17179869184</v>
      </c>
      <c r="I271">
        <f t="shared" si="264"/>
        <v>41943040</v>
      </c>
      <c r="J271">
        <f t="shared" si="271"/>
        <v>175921860444160</v>
      </c>
      <c r="K271">
        <f t="shared" si="272"/>
        <v>1024</v>
      </c>
      <c r="L271" s="1">
        <f t="shared" si="273"/>
        <v>0</v>
      </c>
      <c r="M271" s="1">
        <f t="shared" si="274"/>
        <v>9.9999999994179231E-2</v>
      </c>
      <c r="N271">
        <f t="shared" si="275"/>
        <v>41943040</v>
      </c>
      <c r="O271">
        <f t="shared" si="262"/>
        <v>17179869184</v>
      </c>
      <c r="P271">
        <f t="shared" si="276"/>
        <v>0</v>
      </c>
      <c r="Q271">
        <f t="shared" si="277"/>
        <v>0</v>
      </c>
      <c r="S271">
        <f t="shared" si="278"/>
        <v>0</v>
      </c>
    </row>
    <row r="272" spans="2:19">
      <c r="B272">
        <f t="shared" si="279"/>
        <v>4194304</v>
      </c>
      <c r="D272">
        <f t="shared" si="267"/>
        <v>3075822.9333333331</v>
      </c>
      <c r="E272" s="1">
        <f t="shared" si="268"/>
        <v>1</v>
      </c>
      <c r="F272">
        <f t="shared" si="269"/>
        <v>8.8756734674627126E-5</v>
      </c>
      <c r="G272">
        <f t="shared" si="265"/>
        <v>188978561024</v>
      </c>
      <c r="H272">
        <f t="shared" si="260"/>
        <v>17179869184</v>
      </c>
      <c r="I272">
        <f t="shared" si="264"/>
        <v>46137344</v>
      </c>
      <c r="J272">
        <f t="shared" si="271"/>
        <v>193514046488576</v>
      </c>
      <c r="K272">
        <f t="shared" si="272"/>
        <v>1024</v>
      </c>
      <c r="L272" s="1">
        <f t="shared" si="273"/>
        <v>0</v>
      </c>
      <c r="M272" s="1">
        <f t="shared" si="274"/>
        <v>9.0909090903799297E-2</v>
      </c>
      <c r="N272">
        <f t="shared" si="275"/>
        <v>46137344</v>
      </c>
      <c r="O272">
        <f t="shared" si="262"/>
        <v>8589934592</v>
      </c>
      <c r="P272">
        <f t="shared" si="276"/>
        <v>0</v>
      </c>
      <c r="Q272">
        <f t="shared" si="277"/>
        <v>0</v>
      </c>
      <c r="S272">
        <f t="shared" si="278"/>
        <v>0</v>
      </c>
    </row>
    <row r="273" spans="2:19">
      <c r="B273">
        <f t="shared" si="279"/>
        <v>4194304</v>
      </c>
      <c r="D273">
        <f t="shared" si="267"/>
        <v>3355443.2000000002</v>
      </c>
      <c r="E273" s="1">
        <f t="shared" si="268"/>
        <v>1</v>
      </c>
      <c r="F273">
        <f t="shared" si="269"/>
        <v>8.1360340118408203E-5</v>
      </c>
      <c r="G273">
        <f t="shared" si="265"/>
        <v>206158430208</v>
      </c>
      <c r="H273">
        <f t="shared" si="260"/>
        <v>17179869184</v>
      </c>
      <c r="I273">
        <f t="shared" si="264"/>
        <v>50331648</v>
      </c>
      <c r="J273">
        <f t="shared" si="271"/>
        <v>211106232532992</v>
      </c>
      <c r="K273">
        <f t="shared" si="272"/>
        <v>1024</v>
      </c>
      <c r="L273" s="1">
        <f t="shared" si="273"/>
        <v>0</v>
      </c>
      <c r="M273" s="1">
        <f t="shared" si="274"/>
        <v>8.3333333328482695E-2</v>
      </c>
      <c r="N273">
        <f t="shared" si="275"/>
        <v>50331648</v>
      </c>
      <c r="O273">
        <f t="shared" si="262"/>
        <v>34359738368</v>
      </c>
      <c r="P273">
        <f t="shared" si="276"/>
        <v>0</v>
      </c>
      <c r="Q273">
        <f t="shared" si="277"/>
        <v>0</v>
      </c>
      <c r="S273">
        <f t="shared" si="278"/>
        <v>0</v>
      </c>
    </row>
    <row r="274" spans="2:19">
      <c r="B274">
        <f t="shared" si="279"/>
        <v>4194304</v>
      </c>
      <c r="D274">
        <f t="shared" si="267"/>
        <v>3635063.4666666668</v>
      </c>
      <c r="E274" s="1">
        <f t="shared" si="268"/>
        <v>1</v>
      </c>
      <c r="F274">
        <f t="shared" si="269"/>
        <v>7.5101852416992188E-5</v>
      </c>
      <c r="G274">
        <f t="shared" si="265"/>
        <v>223338299392</v>
      </c>
      <c r="H274">
        <f t="shared" si="260"/>
        <v>17179869184</v>
      </c>
      <c r="I274">
        <f t="shared" si="264"/>
        <v>54525952</v>
      </c>
      <c r="J274">
        <f t="shared" si="271"/>
        <v>228698418577408</v>
      </c>
      <c r="K274">
        <f t="shared" si="272"/>
        <v>1024</v>
      </c>
      <c r="L274" s="1">
        <f t="shared" si="273"/>
        <v>0</v>
      </c>
      <c r="M274" s="1">
        <f t="shared" si="274"/>
        <v>7.6923076918599412E-2</v>
      </c>
      <c r="N274">
        <f t="shared" si="275"/>
        <v>54525952</v>
      </c>
      <c r="O274">
        <f t="shared" si="262"/>
        <v>8589934592</v>
      </c>
      <c r="P274">
        <f t="shared" si="276"/>
        <v>0</v>
      </c>
      <c r="Q274">
        <f t="shared" si="277"/>
        <v>0</v>
      </c>
      <c r="S274">
        <f t="shared" si="278"/>
        <v>0</v>
      </c>
    </row>
    <row r="275" spans="2:19">
      <c r="B275">
        <f t="shared" si="279"/>
        <v>4194304</v>
      </c>
      <c r="D275">
        <f t="shared" si="267"/>
        <v>3914683.7333333334</v>
      </c>
      <c r="E275" s="1">
        <f t="shared" si="268"/>
        <v>1</v>
      </c>
      <c r="F275">
        <f t="shared" si="269"/>
        <v>6.9737434387207031E-5</v>
      </c>
      <c r="G275">
        <f t="shared" si="265"/>
        <v>240518168576</v>
      </c>
      <c r="H275">
        <f t="shared" si="260"/>
        <v>17179869184</v>
      </c>
      <c r="I275">
        <f t="shared" si="264"/>
        <v>58720256</v>
      </c>
      <c r="J275">
        <f t="shared" si="271"/>
        <v>246290604621824</v>
      </c>
      <c r="K275">
        <f t="shared" si="272"/>
        <v>1024</v>
      </c>
      <c r="L275" s="1">
        <f t="shared" si="273"/>
        <v>0</v>
      </c>
      <c r="M275" s="1">
        <f t="shared" si="274"/>
        <v>7.1428571424413737E-2</v>
      </c>
      <c r="N275">
        <f t="shared" si="275"/>
        <v>58720256</v>
      </c>
      <c r="O275">
        <f t="shared" si="262"/>
        <v>17179869184</v>
      </c>
      <c r="P275">
        <f t="shared" si="276"/>
        <v>0</v>
      </c>
      <c r="Q275">
        <f t="shared" si="277"/>
        <v>0</v>
      </c>
      <c r="S275">
        <f t="shared" si="278"/>
        <v>0</v>
      </c>
    </row>
    <row r="276" spans="2:19">
      <c r="B276">
        <f t="shared" si="279"/>
        <v>4194304</v>
      </c>
      <c r="D276">
        <f t="shared" si="267"/>
        <v>4194304</v>
      </c>
      <c r="E276" s="1">
        <f t="shared" si="268"/>
        <v>1</v>
      </c>
      <c r="F276">
        <f t="shared" si="269"/>
        <v>6.5088272094726562E-5</v>
      </c>
      <c r="G276">
        <f t="shared" si="265"/>
        <v>257698037760</v>
      </c>
      <c r="H276">
        <f t="shared" si="260"/>
        <v>17179869184</v>
      </c>
      <c r="I276">
        <f t="shared" si="264"/>
        <v>62914560</v>
      </c>
      <c r="J276">
        <f t="shared" si="271"/>
        <v>263882790666240</v>
      </c>
      <c r="K276">
        <f t="shared" si="272"/>
        <v>1024</v>
      </c>
      <c r="L276" s="1">
        <f t="shared" si="273"/>
        <v>0</v>
      </c>
      <c r="M276" s="1">
        <f t="shared" si="274"/>
        <v>6.6666666662786159E-2</v>
      </c>
      <c r="N276">
        <f t="shared" si="275"/>
        <v>62914560</v>
      </c>
      <c r="O276">
        <f t="shared" si="262"/>
        <v>8589934592</v>
      </c>
      <c r="P276">
        <f t="shared" si="276"/>
        <v>0</v>
      </c>
      <c r="Q276">
        <f t="shared" si="277"/>
        <v>0</v>
      </c>
      <c r="S276">
        <f t="shared" si="278"/>
        <v>0</v>
      </c>
    </row>
    <row r="277" spans="2:19">
      <c r="B277">
        <f t="shared" si="279"/>
        <v>4194304</v>
      </c>
      <c r="D277">
        <f t="shared" si="267"/>
        <v>4473924.2666666666</v>
      </c>
      <c r="E277" s="1">
        <f t="shared" si="268"/>
        <v>1</v>
      </c>
      <c r="F277">
        <f t="shared" si="269"/>
        <v>6.1020255088806152E-5</v>
      </c>
      <c r="G277">
        <f t="shared" si="265"/>
        <v>274877906944</v>
      </c>
      <c r="H277">
        <f t="shared" si="260"/>
        <v>17179869184</v>
      </c>
      <c r="I277">
        <f t="shared" si="264"/>
        <v>67108864</v>
      </c>
      <c r="J277">
        <f t="shared" si="271"/>
        <v>281474976710656</v>
      </c>
      <c r="K277">
        <f t="shared" si="272"/>
        <v>1024</v>
      </c>
      <c r="L277" s="1">
        <f t="shared" si="273"/>
        <v>0</v>
      </c>
      <c r="M277" s="1">
        <f t="shared" si="274"/>
        <v>6.2499999996362021E-2</v>
      </c>
      <c r="N277">
        <f t="shared" si="275"/>
        <v>67108864</v>
      </c>
      <c r="O277">
        <f t="shared" si="262"/>
        <v>274877906944</v>
      </c>
      <c r="P277">
        <f t="shared" si="276"/>
        <v>0</v>
      </c>
      <c r="Q277">
        <f t="shared" si="277"/>
        <v>0</v>
      </c>
      <c r="S277">
        <f t="shared" si="278"/>
        <v>0</v>
      </c>
    </row>
    <row r="278" spans="2:19">
      <c r="B278">
        <f t="shared" si="279"/>
        <v>4194304</v>
      </c>
      <c r="D278">
        <f t="shared" si="267"/>
        <v>5033164.7999999998</v>
      </c>
      <c r="E278" s="1">
        <f t="shared" si="268"/>
        <v>1</v>
      </c>
      <c r="F278">
        <f t="shared" si="269"/>
        <v>5.4240226745605469E-5</v>
      </c>
      <c r="G278">
        <f t="shared" si="265"/>
        <v>309237645312</v>
      </c>
      <c r="H278">
        <f t="shared" ref="H278" si="282">H270*2</f>
        <v>34359738368</v>
      </c>
      <c r="I278">
        <f t="shared" si="264"/>
        <v>75497472</v>
      </c>
      <c r="J278">
        <f t="shared" si="271"/>
        <v>316659348799488</v>
      </c>
      <c r="K278">
        <f t="shared" si="272"/>
        <v>1024</v>
      </c>
      <c r="L278" s="1">
        <f t="shared" si="273"/>
        <v>0</v>
      </c>
      <c r="M278" s="1">
        <f t="shared" si="274"/>
        <v>0.11111111110787736</v>
      </c>
      <c r="N278">
        <f t="shared" si="275"/>
        <v>75497472</v>
      </c>
      <c r="O278">
        <f t="shared" si="262"/>
        <v>17179869184</v>
      </c>
      <c r="P278">
        <f t="shared" si="276"/>
        <v>0</v>
      </c>
      <c r="Q278">
        <f t="shared" si="277"/>
        <v>0</v>
      </c>
      <c r="S278">
        <f t="shared" si="278"/>
        <v>0</v>
      </c>
    </row>
    <row r="279" spans="2:19">
      <c r="B279">
        <f t="shared" si="279"/>
        <v>4194304</v>
      </c>
      <c r="D279">
        <f t="shared" si="267"/>
        <v>5592405.333333333</v>
      </c>
      <c r="E279" s="1">
        <f t="shared" si="268"/>
        <v>1</v>
      </c>
      <c r="F279">
        <f t="shared" si="269"/>
        <v>4.8816204071044922E-5</v>
      </c>
      <c r="G279">
        <f t="shared" si="265"/>
        <v>343597383680</v>
      </c>
      <c r="H279">
        <f t="shared" si="260"/>
        <v>34359738368</v>
      </c>
      <c r="I279">
        <f t="shared" si="264"/>
        <v>83886080</v>
      </c>
      <c r="J279">
        <f t="shared" si="271"/>
        <v>351843720888320</v>
      </c>
      <c r="K279">
        <f t="shared" si="272"/>
        <v>1024</v>
      </c>
      <c r="L279" s="1">
        <f t="shared" si="273"/>
        <v>0</v>
      </c>
      <c r="M279" s="1">
        <f t="shared" si="274"/>
        <v>9.9999999997089611E-2</v>
      </c>
      <c r="N279">
        <f t="shared" si="275"/>
        <v>83886080</v>
      </c>
      <c r="O279">
        <f t="shared" si="262"/>
        <v>34359738368</v>
      </c>
      <c r="P279">
        <f t="shared" si="276"/>
        <v>0</v>
      </c>
      <c r="Q279">
        <f t="shared" si="277"/>
        <v>0</v>
      </c>
      <c r="S279">
        <f t="shared" si="278"/>
        <v>0</v>
      </c>
    </row>
    <row r="280" spans="2:19">
      <c r="B280">
        <f t="shared" si="279"/>
        <v>4194304</v>
      </c>
      <c r="D280">
        <f t="shared" si="267"/>
        <v>6151645.8666666662</v>
      </c>
      <c r="E280" s="1">
        <f t="shared" si="268"/>
        <v>1</v>
      </c>
      <c r="F280">
        <f t="shared" si="269"/>
        <v>4.4378367337313563E-5</v>
      </c>
      <c r="G280">
        <f t="shared" si="265"/>
        <v>377957122048</v>
      </c>
      <c r="H280">
        <f t="shared" si="260"/>
        <v>34359738368</v>
      </c>
      <c r="I280">
        <f t="shared" si="264"/>
        <v>92274688</v>
      </c>
      <c r="J280">
        <f t="shared" si="271"/>
        <v>387028092977152</v>
      </c>
      <c r="K280">
        <f t="shared" si="272"/>
        <v>1024</v>
      </c>
      <c r="L280" s="1">
        <f t="shared" si="273"/>
        <v>0</v>
      </c>
      <c r="M280" s="1">
        <f t="shared" si="274"/>
        <v>9.0909090906445111E-2</v>
      </c>
      <c r="N280">
        <f t="shared" si="275"/>
        <v>92274688</v>
      </c>
      <c r="O280">
        <f t="shared" si="262"/>
        <v>17179869184</v>
      </c>
      <c r="P280">
        <f t="shared" si="276"/>
        <v>0</v>
      </c>
      <c r="Q280">
        <f t="shared" si="277"/>
        <v>0</v>
      </c>
      <c r="S280">
        <f t="shared" si="278"/>
        <v>0</v>
      </c>
    </row>
    <row r="281" spans="2:19">
      <c r="B281">
        <f t="shared" si="279"/>
        <v>4194304</v>
      </c>
      <c r="D281">
        <f t="shared" si="267"/>
        <v>6710886.4000000004</v>
      </c>
      <c r="E281" s="1">
        <f t="shared" si="268"/>
        <v>1</v>
      </c>
      <c r="F281">
        <f t="shared" si="269"/>
        <v>4.0680170059204102E-5</v>
      </c>
      <c r="G281">
        <f t="shared" si="265"/>
        <v>412316860416</v>
      </c>
      <c r="H281">
        <f t="shared" si="260"/>
        <v>34359738368</v>
      </c>
      <c r="I281">
        <f t="shared" si="264"/>
        <v>100663296</v>
      </c>
      <c r="J281">
        <f t="shared" si="271"/>
        <v>422212465065984</v>
      </c>
      <c r="K281">
        <f t="shared" si="272"/>
        <v>1024</v>
      </c>
      <c r="L281" s="1">
        <f t="shared" si="273"/>
        <v>0</v>
      </c>
      <c r="M281" s="1">
        <f t="shared" si="274"/>
        <v>8.3333333330908019E-2</v>
      </c>
      <c r="N281">
        <f t="shared" si="275"/>
        <v>100663296</v>
      </c>
      <c r="O281">
        <f t="shared" si="262"/>
        <v>68719476736</v>
      </c>
      <c r="P281">
        <f t="shared" si="276"/>
        <v>0</v>
      </c>
      <c r="Q281">
        <f t="shared" si="277"/>
        <v>0</v>
      </c>
      <c r="S281">
        <f t="shared" si="278"/>
        <v>0</v>
      </c>
    </row>
    <row r="282" spans="2:19">
      <c r="B282">
        <f t="shared" si="279"/>
        <v>4194304</v>
      </c>
      <c r="D282">
        <f t="shared" si="267"/>
        <v>7270126.9333333336</v>
      </c>
      <c r="E282" s="1">
        <f t="shared" si="268"/>
        <v>1</v>
      </c>
      <c r="F282">
        <f t="shared" si="269"/>
        <v>3.7550926208496094E-5</v>
      </c>
      <c r="G282">
        <f t="shared" si="265"/>
        <v>446676598784</v>
      </c>
      <c r="H282">
        <f t="shared" si="260"/>
        <v>34359738368</v>
      </c>
      <c r="I282">
        <f t="shared" si="264"/>
        <v>109051904</v>
      </c>
      <c r="J282">
        <f t="shared" si="271"/>
        <v>457396837154816</v>
      </c>
      <c r="K282">
        <f t="shared" si="272"/>
        <v>1024</v>
      </c>
      <c r="L282" s="1">
        <f t="shared" si="273"/>
        <v>0</v>
      </c>
      <c r="M282" s="1">
        <f t="shared" si="274"/>
        <v>7.6923076920838163E-2</v>
      </c>
      <c r="N282">
        <f t="shared" si="275"/>
        <v>109051904</v>
      </c>
      <c r="O282">
        <f t="shared" si="262"/>
        <v>17179869184</v>
      </c>
      <c r="P282">
        <f t="shared" si="276"/>
        <v>0</v>
      </c>
      <c r="Q282">
        <f t="shared" si="277"/>
        <v>0</v>
      </c>
      <c r="S282">
        <f t="shared" si="278"/>
        <v>0</v>
      </c>
    </row>
    <row r="283" spans="2:19">
      <c r="B283">
        <f t="shared" si="279"/>
        <v>4194304</v>
      </c>
      <c r="D283">
        <f t="shared" si="267"/>
        <v>7829367.4666666668</v>
      </c>
      <c r="E283" s="1">
        <f t="shared" si="268"/>
        <v>1</v>
      </c>
      <c r="F283">
        <f t="shared" si="269"/>
        <v>3.4868717193603516E-5</v>
      </c>
      <c r="G283">
        <f t="shared" si="265"/>
        <v>481036337152</v>
      </c>
      <c r="H283">
        <f t="shared" si="260"/>
        <v>34359738368</v>
      </c>
      <c r="I283">
        <f t="shared" si="264"/>
        <v>117440512</v>
      </c>
      <c r="J283">
        <f t="shared" si="271"/>
        <v>492581209243648</v>
      </c>
      <c r="K283">
        <f t="shared" si="272"/>
        <v>1024</v>
      </c>
      <c r="L283" s="1">
        <f t="shared" si="273"/>
        <v>0</v>
      </c>
      <c r="M283" s="1">
        <f t="shared" si="274"/>
        <v>7.1428571426492588E-2</v>
      </c>
      <c r="N283">
        <f t="shared" si="275"/>
        <v>117440512</v>
      </c>
      <c r="O283">
        <f t="shared" si="262"/>
        <v>34359738368</v>
      </c>
      <c r="P283">
        <f t="shared" si="276"/>
        <v>0</v>
      </c>
      <c r="Q283">
        <f t="shared" si="277"/>
        <v>0</v>
      </c>
      <c r="S283">
        <f t="shared" si="278"/>
        <v>0</v>
      </c>
    </row>
    <row r="284" spans="2:19">
      <c r="B284">
        <f t="shared" si="279"/>
        <v>4194304</v>
      </c>
      <c r="D284">
        <f t="shared" si="267"/>
        <v>8388608</v>
      </c>
      <c r="E284" s="1">
        <f t="shared" si="268"/>
        <v>1</v>
      </c>
      <c r="F284">
        <f t="shared" si="269"/>
        <v>3.2544136047363281E-5</v>
      </c>
      <c r="G284">
        <f t="shared" si="265"/>
        <v>515396075520</v>
      </c>
      <c r="H284">
        <f t="shared" si="260"/>
        <v>34359738368</v>
      </c>
      <c r="I284">
        <f t="shared" si="264"/>
        <v>125829120</v>
      </c>
      <c r="J284">
        <f t="shared" si="271"/>
        <v>527765581332480</v>
      </c>
      <c r="K284">
        <f t="shared" si="272"/>
        <v>1024</v>
      </c>
      <c r="L284" s="1">
        <f t="shared" si="273"/>
        <v>0</v>
      </c>
      <c r="M284" s="1">
        <f t="shared" si="274"/>
        <v>6.6666666664726412E-2</v>
      </c>
      <c r="N284">
        <f t="shared" si="275"/>
        <v>125829120</v>
      </c>
      <c r="O284">
        <f t="shared" si="262"/>
        <v>17179869184</v>
      </c>
      <c r="P284">
        <f t="shared" si="276"/>
        <v>0</v>
      </c>
      <c r="Q284">
        <f t="shared" si="277"/>
        <v>0</v>
      </c>
      <c r="S284">
        <f t="shared" si="278"/>
        <v>0</v>
      </c>
    </row>
    <row r="285" spans="2:19">
      <c r="B285">
        <f t="shared" si="279"/>
        <v>4194304</v>
      </c>
      <c r="D285">
        <f t="shared" si="267"/>
        <v>8947848.5333333332</v>
      </c>
      <c r="E285" s="1">
        <f t="shared" si="268"/>
        <v>1</v>
      </c>
      <c r="F285">
        <f t="shared" si="269"/>
        <v>3.0510127544403076E-5</v>
      </c>
      <c r="G285">
        <f t="shared" si="265"/>
        <v>549755813888</v>
      </c>
      <c r="H285">
        <f t="shared" si="260"/>
        <v>34359738368</v>
      </c>
      <c r="I285">
        <f t="shared" si="264"/>
        <v>134217728</v>
      </c>
      <c r="J285">
        <f t="shared" si="271"/>
        <v>562949953421312</v>
      </c>
      <c r="K285">
        <f t="shared" si="272"/>
        <v>1024</v>
      </c>
      <c r="L285" s="1">
        <f t="shared" si="273"/>
        <v>0</v>
      </c>
      <c r="M285" s="1">
        <f t="shared" si="274"/>
        <v>6.2499999998181011E-2</v>
      </c>
      <c r="N285">
        <f t="shared" si="275"/>
        <v>134217728</v>
      </c>
      <c r="O285">
        <f t="shared" si="262"/>
        <v>549755813888</v>
      </c>
      <c r="P285">
        <f t="shared" si="276"/>
        <v>0</v>
      </c>
      <c r="Q285">
        <f t="shared" si="277"/>
        <v>0</v>
      </c>
      <c r="S285">
        <f t="shared" si="278"/>
        <v>0</v>
      </c>
    </row>
    <row r="286" spans="2:19">
      <c r="B286">
        <f t="shared" si="279"/>
        <v>4194304</v>
      </c>
      <c r="D286">
        <f t="shared" si="267"/>
        <v>10066329.6</v>
      </c>
      <c r="E286" s="1">
        <f t="shared" si="268"/>
        <v>1</v>
      </c>
      <c r="F286">
        <f t="shared" si="269"/>
        <v>2.7120113372802734E-5</v>
      </c>
      <c r="G286">
        <f t="shared" si="265"/>
        <v>618475290624</v>
      </c>
      <c r="H286">
        <f t="shared" ref="H286" si="283">H278*2</f>
        <v>68719476736</v>
      </c>
      <c r="I286">
        <f t="shared" si="264"/>
        <v>150994944</v>
      </c>
      <c r="J286">
        <f t="shared" si="271"/>
        <v>633318697598976</v>
      </c>
      <c r="K286">
        <f t="shared" si="272"/>
        <v>1024</v>
      </c>
      <c r="L286" s="1">
        <f t="shared" si="273"/>
        <v>0</v>
      </c>
      <c r="M286" s="1">
        <f t="shared" si="274"/>
        <v>0.11111111110949423</v>
      </c>
      <c r="N286">
        <f t="shared" si="275"/>
        <v>150994944</v>
      </c>
      <c r="O286">
        <f t="shared" si="262"/>
        <v>34359738368</v>
      </c>
      <c r="P286">
        <f t="shared" si="276"/>
        <v>0</v>
      </c>
      <c r="Q286">
        <f t="shared" si="277"/>
        <v>0</v>
      </c>
      <c r="S286">
        <f t="shared" si="278"/>
        <v>0</v>
      </c>
    </row>
    <row r="287" spans="2:19">
      <c r="B287">
        <f t="shared" si="279"/>
        <v>4194304</v>
      </c>
      <c r="D287">
        <f t="shared" si="267"/>
        <v>11184810.666666666</v>
      </c>
      <c r="E287" s="1">
        <f t="shared" si="268"/>
        <v>1</v>
      </c>
      <c r="F287">
        <f t="shared" si="269"/>
        <v>2.4408102035522461E-5</v>
      </c>
      <c r="G287">
        <f t="shared" si="265"/>
        <v>687194767360</v>
      </c>
      <c r="H287">
        <f t="shared" ref="H287:H349" si="284">H286</f>
        <v>68719476736</v>
      </c>
      <c r="I287">
        <f t="shared" si="264"/>
        <v>167772160</v>
      </c>
      <c r="J287">
        <f t="shared" si="271"/>
        <v>703687441776640</v>
      </c>
      <c r="K287">
        <f t="shared" si="272"/>
        <v>1024</v>
      </c>
      <c r="L287" s="1">
        <f t="shared" si="273"/>
        <v>0</v>
      </c>
      <c r="M287" s="1">
        <f t="shared" si="274"/>
        <v>9.9999999998544808E-2</v>
      </c>
      <c r="N287">
        <f t="shared" si="275"/>
        <v>167772160</v>
      </c>
      <c r="O287">
        <f t="shared" si="262"/>
        <v>68719476736</v>
      </c>
      <c r="P287">
        <f t="shared" si="276"/>
        <v>0</v>
      </c>
      <c r="Q287">
        <f t="shared" si="277"/>
        <v>0</v>
      </c>
      <c r="S287">
        <f t="shared" si="278"/>
        <v>0</v>
      </c>
    </row>
    <row r="288" spans="2:19">
      <c r="B288">
        <f t="shared" si="279"/>
        <v>4194304</v>
      </c>
      <c r="D288">
        <f t="shared" si="267"/>
        <v>12303291.733333332</v>
      </c>
      <c r="E288" s="1">
        <f t="shared" si="268"/>
        <v>1</v>
      </c>
      <c r="F288">
        <f t="shared" si="269"/>
        <v>2.2189183668656781E-5</v>
      </c>
      <c r="G288">
        <f t="shared" si="265"/>
        <v>755914244096</v>
      </c>
      <c r="H288">
        <f t="shared" si="284"/>
        <v>68719476736</v>
      </c>
      <c r="I288">
        <f t="shared" si="264"/>
        <v>184549376</v>
      </c>
      <c r="J288">
        <f t="shared" si="271"/>
        <v>774056185954304</v>
      </c>
      <c r="K288">
        <f t="shared" si="272"/>
        <v>1024</v>
      </c>
      <c r="L288" s="1">
        <f t="shared" si="273"/>
        <v>0</v>
      </c>
      <c r="M288" s="1">
        <f t="shared" si="274"/>
        <v>9.0909090907768011E-2</v>
      </c>
      <c r="N288">
        <f t="shared" si="275"/>
        <v>184549376</v>
      </c>
      <c r="O288">
        <f t="shared" si="262"/>
        <v>34359738368</v>
      </c>
      <c r="P288">
        <f t="shared" si="276"/>
        <v>0</v>
      </c>
      <c r="Q288">
        <f t="shared" si="277"/>
        <v>0</v>
      </c>
      <c r="S288">
        <f t="shared" si="278"/>
        <v>0</v>
      </c>
    </row>
    <row r="289" spans="2:19">
      <c r="B289">
        <f t="shared" si="279"/>
        <v>4194304</v>
      </c>
      <c r="D289">
        <f t="shared" si="267"/>
        <v>13421772.800000001</v>
      </c>
      <c r="E289" s="1">
        <f t="shared" si="268"/>
        <v>1</v>
      </c>
      <c r="F289">
        <f t="shared" si="269"/>
        <v>2.0340085029602051E-5</v>
      </c>
      <c r="G289">
        <f t="shared" si="265"/>
        <v>824633720832</v>
      </c>
      <c r="H289">
        <f t="shared" si="284"/>
        <v>68719476736</v>
      </c>
      <c r="I289">
        <f t="shared" si="264"/>
        <v>201326592</v>
      </c>
      <c r="J289">
        <f t="shared" si="271"/>
        <v>844424930131968</v>
      </c>
      <c r="K289">
        <f t="shared" si="272"/>
        <v>1024</v>
      </c>
      <c r="L289" s="1">
        <f t="shared" si="273"/>
        <v>0</v>
      </c>
      <c r="M289" s="1">
        <f t="shared" si="274"/>
        <v>8.3333333332120674E-2</v>
      </c>
      <c r="N289">
        <f t="shared" si="275"/>
        <v>201326592</v>
      </c>
      <c r="O289">
        <f t="shared" si="262"/>
        <v>137438953472</v>
      </c>
      <c r="P289">
        <f t="shared" si="276"/>
        <v>0</v>
      </c>
      <c r="Q289">
        <f t="shared" si="277"/>
        <v>0</v>
      </c>
      <c r="S289">
        <f t="shared" si="278"/>
        <v>0</v>
      </c>
    </row>
    <row r="290" spans="2:19">
      <c r="B290">
        <f t="shared" si="279"/>
        <v>4194304</v>
      </c>
      <c r="D290">
        <f t="shared" si="267"/>
        <v>14540253.866666667</v>
      </c>
      <c r="E290" s="1">
        <f t="shared" si="268"/>
        <v>1</v>
      </c>
      <c r="F290">
        <f t="shared" si="269"/>
        <v>1.8775463104248047E-5</v>
      </c>
      <c r="G290">
        <f t="shared" si="265"/>
        <v>893353197568</v>
      </c>
      <c r="H290">
        <f t="shared" si="284"/>
        <v>68719476736</v>
      </c>
      <c r="I290">
        <f t="shared" si="264"/>
        <v>218103808</v>
      </c>
      <c r="J290">
        <f t="shared" si="271"/>
        <v>914793674309632</v>
      </c>
      <c r="K290">
        <f t="shared" si="272"/>
        <v>1024</v>
      </c>
      <c r="L290" s="1">
        <f t="shared" si="273"/>
        <v>0</v>
      </c>
      <c r="M290" s="1">
        <f t="shared" si="274"/>
        <v>7.6923076921957545E-2</v>
      </c>
      <c r="N290">
        <f t="shared" si="275"/>
        <v>218103808</v>
      </c>
      <c r="O290">
        <f t="shared" si="262"/>
        <v>34359738368</v>
      </c>
      <c r="P290">
        <f t="shared" si="276"/>
        <v>0</v>
      </c>
      <c r="Q290">
        <f t="shared" si="277"/>
        <v>0</v>
      </c>
      <c r="S290">
        <f t="shared" si="278"/>
        <v>0</v>
      </c>
    </row>
    <row r="291" spans="2:19">
      <c r="B291">
        <f t="shared" si="279"/>
        <v>4194304</v>
      </c>
      <c r="D291">
        <f t="shared" si="267"/>
        <v>15658734.933333334</v>
      </c>
      <c r="E291" s="1">
        <f t="shared" si="268"/>
        <v>1</v>
      </c>
      <c r="F291">
        <f t="shared" si="269"/>
        <v>1.7434358596801758E-5</v>
      </c>
      <c r="G291">
        <f t="shared" si="265"/>
        <v>962072674304</v>
      </c>
      <c r="H291">
        <f t="shared" si="284"/>
        <v>68719476736</v>
      </c>
      <c r="I291">
        <f t="shared" si="264"/>
        <v>234881024</v>
      </c>
      <c r="J291">
        <f t="shared" si="271"/>
        <v>985162418487296</v>
      </c>
      <c r="K291">
        <f t="shared" si="272"/>
        <v>1024</v>
      </c>
      <c r="L291" s="1">
        <f t="shared" si="273"/>
        <v>0</v>
      </c>
      <c r="M291" s="1">
        <f t="shared" si="274"/>
        <v>7.1428571427532006E-2</v>
      </c>
      <c r="N291">
        <f t="shared" si="275"/>
        <v>234881024</v>
      </c>
      <c r="O291">
        <f t="shared" si="262"/>
        <v>68719476736</v>
      </c>
      <c r="P291">
        <f t="shared" si="276"/>
        <v>0</v>
      </c>
      <c r="Q291">
        <f t="shared" si="277"/>
        <v>0</v>
      </c>
      <c r="S291">
        <f t="shared" si="278"/>
        <v>0</v>
      </c>
    </row>
    <row r="292" spans="2:19">
      <c r="B292">
        <f t="shared" si="279"/>
        <v>4194304</v>
      </c>
      <c r="D292">
        <f t="shared" si="267"/>
        <v>16777216</v>
      </c>
      <c r="E292" s="1">
        <f t="shared" si="268"/>
        <v>1</v>
      </c>
      <c r="F292">
        <f t="shared" si="269"/>
        <v>1.6272068023681641E-5</v>
      </c>
      <c r="G292">
        <f t="shared" si="265"/>
        <v>1030792151040</v>
      </c>
      <c r="H292">
        <f t="shared" si="284"/>
        <v>68719476736</v>
      </c>
      <c r="I292">
        <f t="shared" si="264"/>
        <v>251658240</v>
      </c>
      <c r="J292">
        <f t="shared" si="271"/>
        <v>1055531162664960</v>
      </c>
      <c r="K292">
        <f t="shared" si="272"/>
        <v>1024</v>
      </c>
      <c r="L292" s="1">
        <f t="shared" si="273"/>
        <v>0</v>
      </c>
      <c r="M292" s="1">
        <f t="shared" si="274"/>
        <v>6.6666666665696539E-2</v>
      </c>
      <c r="N292">
        <f t="shared" si="275"/>
        <v>251658240</v>
      </c>
      <c r="O292">
        <f t="shared" si="262"/>
        <v>34359738368</v>
      </c>
      <c r="P292">
        <f t="shared" si="276"/>
        <v>0</v>
      </c>
      <c r="Q292">
        <f t="shared" si="277"/>
        <v>0</v>
      </c>
      <c r="S292">
        <f t="shared" si="278"/>
        <v>0</v>
      </c>
    </row>
    <row r="293" spans="2:19">
      <c r="B293">
        <f t="shared" si="279"/>
        <v>4194304</v>
      </c>
      <c r="D293">
        <f t="shared" si="267"/>
        <v>17895697.066666666</v>
      </c>
      <c r="E293" s="1">
        <f t="shared" si="268"/>
        <v>1</v>
      </c>
      <c r="F293">
        <f t="shared" si="269"/>
        <v>1.5255063772201538E-5</v>
      </c>
      <c r="G293">
        <f t="shared" si="265"/>
        <v>1099511627776</v>
      </c>
      <c r="H293">
        <f t="shared" si="284"/>
        <v>68719476736</v>
      </c>
      <c r="I293">
        <f t="shared" si="264"/>
        <v>268435456</v>
      </c>
      <c r="J293">
        <f t="shared" si="271"/>
        <v>1125899906842624</v>
      </c>
      <c r="K293">
        <f t="shared" si="272"/>
        <v>1024</v>
      </c>
      <c r="L293" s="1">
        <f t="shared" si="273"/>
        <v>0</v>
      </c>
      <c r="M293" s="1">
        <f t="shared" si="274"/>
        <v>6.2499999999090505E-2</v>
      </c>
      <c r="N293">
        <f t="shared" si="275"/>
        <v>268435456</v>
      </c>
      <c r="O293">
        <f t="shared" si="262"/>
        <v>1099511627776</v>
      </c>
      <c r="P293">
        <f t="shared" si="276"/>
        <v>0</v>
      </c>
      <c r="Q293">
        <f t="shared" si="277"/>
        <v>0</v>
      </c>
      <c r="S293">
        <f t="shared" si="278"/>
        <v>0</v>
      </c>
    </row>
    <row r="294" spans="2:19">
      <c r="B294">
        <f t="shared" si="279"/>
        <v>4194304</v>
      </c>
      <c r="D294">
        <f t="shared" si="267"/>
        <v>20132659.199999999</v>
      </c>
      <c r="E294" s="1">
        <f t="shared" si="268"/>
        <v>1</v>
      </c>
      <c r="F294">
        <f t="shared" si="269"/>
        <v>1.3560056686401367E-5</v>
      </c>
      <c r="G294">
        <f t="shared" si="265"/>
        <v>1236950581248</v>
      </c>
      <c r="H294">
        <f t="shared" ref="H294" si="285">H286*2</f>
        <v>137438953472</v>
      </c>
      <c r="I294">
        <f t="shared" si="264"/>
        <v>301989888</v>
      </c>
      <c r="J294">
        <f t="shared" si="271"/>
        <v>1266637395197952</v>
      </c>
      <c r="K294">
        <f t="shared" si="272"/>
        <v>1024</v>
      </c>
      <c r="L294" s="1">
        <f t="shared" si="273"/>
        <v>0</v>
      </c>
      <c r="M294" s="1">
        <f t="shared" si="274"/>
        <v>0.11111111111030267</v>
      </c>
      <c r="N294">
        <f t="shared" si="275"/>
        <v>301989888</v>
      </c>
      <c r="O294">
        <f t="shared" ref="O294:O357" si="286">O286*2</f>
        <v>68719476736</v>
      </c>
      <c r="P294">
        <f t="shared" si="276"/>
        <v>0</v>
      </c>
      <c r="Q294">
        <f t="shared" si="277"/>
        <v>0</v>
      </c>
      <c r="S294">
        <f t="shared" si="278"/>
        <v>0</v>
      </c>
    </row>
    <row r="295" spans="2:19">
      <c r="B295">
        <f t="shared" si="279"/>
        <v>4194304</v>
      </c>
      <c r="D295">
        <f t="shared" si="267"/>
        <v>22369621.333333332</v>
      </c>
      <c r="E295" s="1">
        <f t="shared" si="268"/>
        <v>1</v>
      </c>
      <c r="F295">
        <f t="shared" si="269"/>
        <v>1.220405101776123E-5</v>
      </c>
      <c r="G295">
        <f t="shared" si="265"/>
        <v>1374389534720</v>
      </c>
      <c r="H295">
        <f t="shared" si="284"/>
        <v>137438953472</v>
      </c>
      <c r="I295">
        <f t="shared" si="264"/>
        <v>335544320</v>
      </c>
      <c r="J295">
        <f t="shared" si="271"/>
        <v>1407374883553280</v>
      </c>
      <c r="K295">
        <f t="shared" si="272"/>
        <v>1024</v>
      </c>
      <c r="L295" s="1">
        <f t="shared" si="273"/>
        <v>0</v>
      </c>
      <c r="M295" s="1">
        <f t="shared" si="274"/>
        <v>9.9999999999272407E-2</v>
      </c>
      <c r="N295">
        <f t="shared" si="275"/>
        <v>335544320</v>
      </c>
      <c r="O295">
        <f t="shared" si="286"/>
        <v>137438953472</v>
      </c>
      <c r="P295">
        <f t="shared" si="276"/>
        <v>0</v>
      </c>
      <c r="Q295">
        <f t="shared" si="277"/>
        <v>0</v>
      </c>
      <c r="S295">
        <f t="shared" si="278"/>
        <v>0</v>
      </c>
    </row>
    <row r="296" spans="2:19">
      <c r="B296">
        <f t="shared" si="279"/>
        <v>4194304</v>
      </c>
      <c r="D296">
        <f t="shared" si="267"/>
        <v>24606583.466666665</v>
      </c>
      <c r="E296" s="1">
        <f t="shared" si="268"/>
        <v>1</v>
      </c>
      <c r="F296">
        <f t="shared" si="269"/>
        <v>1.1094591834328391E-5</v>
      </c>
      <c r="G296">
        <f t="shared" si="265"/>
        <v>1511828488192</v>
      </c>
      <c r="H296">
        <f t="shared" si="284"/>
        <v>137438953472</v>
      </c>
      <c r="I296">
        <f t="shared" si="264"/>
        <v>369098752</v>
      </c>
      <c r="J296">
        <f t="shared" si="271"/>
        <v>1548112371908608</v>
      </c>
      <c r="K296">
        <f t="shared" si="272"/>
        <v>1024</v>
      </c>
      <c r="L296" s="1">
        <f t="shared" si="273"/>
        <v>0</v>
      </c>
      <c r="M296" s="1">
        <f t="shared" si="274"/>
        <v>9.0909090908429455E-2</v>
      </c>
      <c r="N296">
        <f t="shared" si="275"/>
        <v>369098752</v>
      </c>
      <c r="O296">
        <f t="shared" si="286"/>
        <v>68719476736</v>
      </c>
      <c r="P296">
        <f t="shared" si="276"/>
        <v>0</v>
      </c>
      <c r="Q296">
        <f t="shared" si="277"/>
        <v>0</v>
      </c>
      <c r="S296">
        <f t="shared" si="278"/>
        <v>0</v>
      </c>
    </row>
    <row r="297" spans="2:19">
      <c r="B297">
        <f t="shared" si="279"/>
        <v>4194304</v>
      </c>
      <c r="D297">
        <f t="shared" si="267"/>
        <v>26843545.600000001</v>
      </c>
      <c r="E297" s="1">
        <f t="shared" si="268"/>
        <v>1</v>
      </c>
      <c r="F297">
        <f t="shared" si="269"/>
        <v>1.0170042514801025E-5</v>
      </c>
      <c r="G297">
        <f t="shared" si="265"/>
        <v>1649267441664</v>
      </c>
      <c r="H297">
        <f t="shared" si="284"/>
        <v>137438953472</v>
      </c>
      <c r="I297">
        <f t="shared" si="264"/>
        <v>402653184</v>
      </c>
      <c r="J297">
        <f t="shared" si="271"/>
        <v>1688849860263936</v>
      </c>
      <c r="K297">
        <f t="shared" si="272"/>
        <v>1024</v>
      </c>
      <c r="L297" s="1">
        <f t="shared" si="273"/>
        <v>0</v>
      </c>
      <c r="M297" s="1">
        <f t="shared" si="274"/>
        <v>8.3333333332727008E-2</v>
      </c>
      <c r="N297">
        <f t="shared" si="275"/>
        <v>402653184</v>
      </c>
      <c r="O297">
        <f t="shared" si="286"/>
        <v>274877906944</v>
      </c>
      <c r="P297">
        <f t="shared" si="276"/>
        <v>0</v>
      </c>
      <c r="Q297">
        <f t="shared" si="277"/>
        <v>0</v>
      </c>
      <c r="S297">
        <f t="shared" si="278"/>
        <v>0</v>
      </c>
    </row>
    <row r="298" spans="2:19">
      <c r="B298">
        <f t="shared" si="279"/>
        <v>4194304</v>
      </c>
      <c r="D298">
        <f t="shared" si="267"/>
        <v>29080507.733333334</v>
      </c>
      <c r="E298" s="1">
        <f t="shared" si="268"/>
        <v>1</v>
      </c>
      <c r="F298">
        <f t="shared" si="269"/>
        <v>9.3877315521240234E-6</v>
      </c>
      <c r="G298">
        <f t="shared" si="265"/>
        <v>1786706395136</v>
      </c>
      <c r="H298">
        <f t="shared" si="284"/>
        <v>137438953472</v>
      </c>
      <c r="I298">
        <f t="shared" si="264"/>
        <v>436207616</v>
      </c>
      <c r="J298">
        <f t="shared" si="271"/>
        <v>1829587348619264</v>
      </c>
      <c r="K298">
        <f t="shared" si="272"/>
        <v>1024</v>
      </c>
      <c r="L298" s="1">
        <f t="shared" si="273"/>
        <v>0</v>
      </c>
      <c r="M298" s="1">
        <f t="shared" si="274"/>
        <v>7.6923076922517236E-2</v>
      </c>
      <c r="N298">
        <f t="shared" si="275"/>
        <v>436207616</v>
      </c>
      <c r="O298">
        <f t="shared" si="286"/>
        <v>68719476736</v>
      </c>
      <c r="P298">
        <f t="shared" si="276"/>
        <v>0</v>
      </c>
      <c r="Q298">
        <f t="shared" si="277"/>
        <v>0</v>
      </c>
      <c r="S298">
        <f t="shared" si="278"/>
        <v>0</v>
      </c>
    </row>
    <row r="299" spans="2:19">
      <c r="B299">
        <f t="shared" si="279"/>
        <v>4194304</v>
      </c>
      <c r="D299">
        <f t="shared" si="267"/>
        <v>31317469.866666667</v>
      </c>
      <c r="E299" s="1">
        <f t="shared" si="268"/>
        <v>1</v>
      </c>
      <c r="F299">
        <f t="shared" si="269"/>
        <v>8.7171792984008789E-6</v>
      </c>
      <c r="G299">
        <f t="shared" si="265"/>
        <v>1924145348608</v>
      </c>
      <c r="H299">
        <f t="shared" si="284"/>
        <v>137438953472</v>
      </c>
      <c r="I299">
        <f t="shared" si="264"/>
        <v>469762048</v>
      </c>
      <c r="J299">
        <f t="shared" si="271"/>
        <v>1970324836974592</v>
      </c>
      <c r="K299">
        <f t="shared" si="272"/>
        <v>1024</v>
      </c>
      <c r="L299" s="1">
        <f t="shared" si="273"/>
        <v>0</v>
      </c>
      <c r="M299" s="1">
        <f t="shared" si="274"/>
        <v>7.1428571428051715E-2</v>
      </c>
      <c r="N299">
        <f t="shared" si="275"/>
        <v>469762048</v>
      </c>
      <c r="O299">
        <f t="shared" si="286"/>
        <v>137438953472</v>
      </c>
      <c r="P299">
        <f t="shared" si="276"/>
        <v>0</v>
      </c>
      <c r="Q299">
        <f t="shared" si="277"/>
        <v>0</v>
      </c>
      <c r="S299">
        <f t="shared" si="278"/>
        <v>0</v>
      </c>
    </row>
    <row r="300" spans="2:19">
      <c r="B300">
        <f t="shared" si="279"/>
        <v>4194304</v>
      </c>
      <c r="D300">
        <f t="shared" si="267"/>
        <v>33554432</v>
      </c>
      <c r="E300" s="1">
        <f t="shared" si="268"/>
        <v>1</v>
      </c>
      <c r="F300">
        <f t="shared" si="269"/>
        <v>8.1360340118408203E-6</v>
      </c>
      <c r="G300">
        <f t="shared" si="265"/>
        <v>2061584302080</v>
      </c>
      <c r="H300">
        <f t="shared" si="284"/>
        <v>137438953472</v>
      </c>
      <c r="I300">
        <f t="shared" si="264"/>
        <v>503316480</v>
      </c>
      <c r="J300">
        <f t="shared" si="271"/>
        <v>2111062325329920</v>
      </c>
      <c r="K300">
        <f t="shared" si="272"/>
        <v>1024</v>
      </c>
      <c r="L300" s="1">
        <f t="shared" si="273"/>
        <v>0</v>
      </c>
      <c r="M300" s="1">
        <f t="shared" si="274"/>
        <v>6.6666666666181609E-2</v>
      </c>
      <c r="N300">
        <f t="shared" si="275"/>
        <v>503316480</v>
      </c>
      <c r="O300">
        <f t="shared" si="286"/>
        <v>68719476736</v>
      </c>
      <c r="P300">
        <f t="shared" si="276"/>
        <v>0</v>
      </c>
      <c r="Q300">
        <f t="shared" si="277"/>
        <v>0</v>
      </c>
      <c r="S300">
        <f t="shared" si="278"/>
        <v>0</v>
      </c>
    </row>
    <row r="301" spans="2:19">
      <c r="B301">
        <f t="shared" si="279"/>
        <v>4194304</v>
      </c>
      <c r="D301">
        <f t="shared" si="267"/>
        <v>35791394.133333333</v>
      </c>
      <c r="E301" s="1">
        <f t="shared" si="268"/>
        <v>1</v>
      </c>
      <c r="F301">
        <f t="shared" si="269"/>
        <v>7.627531886100769E-6</v>
      </c>
      <c r="G301">
        <f t="shared" si="265"/>
        <v>2199023255552</v>
      </c>
      <c r="H301">
        <f t="shared" si="284"/>
        <v>137438953472</v>
      </c>
      <c r="I301">
        <f t="shared" si="264"/>
        <v>536870912</v>
      </c>
      <c r="J301">
        <f t="shared" si="271"/>
        <v>2251799813685248</v>
      </c>
      <c r="K301">
        <f t="shared" si="272"/>
        <v>1024</v>
      </c>
      <c r="L301" s="1">
        <f t="shared" si="273"/>
        <v>0</v>
      </c>
      <c r="M301" s="1">
        <f t="shared" si="274"/>
        <v>6.2499999999545253E-2</v>
      </c>
      <c r="N301">
        <f t="shared" si="275"/>
        <v>536870912</v>
      </c>
      <c r="O301">
        <f t="shared" si="286"/>
        <v>2199023255552</v>
      </c>
      <c r="P301">
        <f t="shared" si="276"/>
        <v>0</v>
      </c>
      <c r="Q301">
        <f t="shared" si="277"/>
        <v>0</v>
      </c>
      <c r="S301">
        <f t="shared" si="278"/>
        <v>0</v>
      </c>
    </row>
    <row r="302" spans="2:19">
      <c r="B302">
        <f t="shared" si="279"/>
        <v>4194304</v>
      </c>
      <c r="D302">
        <f t="shared" si="267"/>
        <v>40265318.399999999</v>
      </c>
      <c r="E302" s="1">
        <f t="shared" si="268"/>
        <v>1</v>
      </c>
      <c r="F302">
        <f t="shared" si="269"/>
        <v>6.7800283432006836E-6</v>
      </c>
      <c r="G302">
        <f t="shared" si="265"/>
        <v>2473901162496</v>
      </c>
      <c r="H302">
        <f t="shared" ref="H302" si="287">H294*2</f>
        <v>274877906944</v>
      </c>
      <c r="I302">
        <f t="shared" si="264"/>
        <v>603979776</v>
      </c>
      <c r="J302">
        <f t="shared" si="271"/>
        <v>2533274790395904</v>
      </c>
      <c r="K302">
        <f t="shared" si="272"/>
        <v>1024</v>
      </c>
      <c r="L302" s="1">
        <f t="shared" si="273"/>
        <v>0</v>
      </c>
      <c r="M302" s="1">
        <f t="shared" si="274"/>
        <v>0.11111111111070689</v>
      </c>
      <c r="N302">
        <f t="shared" si="275"/>
        <v>603979776</v>
      </c>
      <c r="O302">
        <f t="shared" si="286"/>
        <v>137438953472</v>
      </c>
      <c r="P302">
        <f t="shared" si="276"/>
        <v>0</v>
      </c>
      <c r="Q302">
        <f t="shared" si="277"/>
        <v>0</v>
      </c>
      <c r="S302">
        <f t="shared" si="278"/>
        <v>0</v>
      </c>
    </row>
    <row r="303" spans="2:19">
      <c r="B303">
        <f t="shared" si="279"/>
        <v>4194304</v>
      </c>
      <c r="D303">
        <f t="shared" si="267"/>
        <v>44739242.666666664</v>
      </c>
      <c r="E303" s="1">
        <f t="shared" si="268"/>
        <v>1</v>
      </c>
      <c r="F303">
        <f t="shared" si="269"/>
        <v>6.1020255088806152E-6</v>
      </c>
      <c r="G303">
        <f t="shared" si="265"/>
        <v>2748779069440</v>
      </c>
      <c r="H303">
        <f t="shared" si="284"/>
        <v>274877906944</v>
      </c>
      <c r="I303">
        <f t="shared" ref="I303:I366" si="288">I295*2</f>
        <v>671088640</v>
      </c>
      <c r="J303">
        <f t="shared" si="271"/>
        <v>2814749767106560</v>
      </c>
      <c r="K303">
        <f t="shared" si="272"/>
        <v>1024</v>
      </c>
      <c r="L303" s="1">
        <f t="shared" si="273"/>
        <v>0</v>
      </c>
      <c r="M303" s="1">
        <f t="shared" si="274"/>
        <v>9.9999999999636199E-2</v>
      </c>
      <c r="N303">
        <f t="shared" si="275"/>
        <v>671088640</v>
      </c>
      <c r="O303">
        <f t="shared" si="286"/>
        <v>274877906944</v>
      </c>
      <c r="P303">
        <f t="shared" si="276"/>
        <v>0</v>
      </c>
      <c r="Q303">
        <f t="shared" si="277"/>
        <v>0</v>
      </c>
      <c r="S303">
        <f t="shared" si="278"/>
        <v>0</v>
      </c>
    </row>
    <row r="304" spans="2:19">
      <c r="B304">
        <f t="shared" si="279"/>
        <v>4194304</v>
      </c>
      <c r="D304">
        <f t="shared" si="267"/>
        <v>49213166.93333333</v>
      </c>
      <c r="E304" s="1">
        <f t="shared" si="268"/>
        <v>1</v>
      </c>
      <c r="F304">
        <f t="shared" si="269"/>
        <v>5.5472959171641954E-6</v>
      </c>
      <c r="G304">
        <f t="shared" si="265"/>
        <v>3023656976384</v>
      </c>
      <c r="H304">
        <f t="shared" si="284"/>
        <v>274877906944</v>
      </c>
      <c r="I304">
        <f t="shared" si="288"/>
        <v>738197504</v>
      </c>
      <c r="J304">
        <f t="shared" si="271"/>
        <v>3096224743817216</v>
      </c>
      <c r="K304">
        <f t="shared" si="272"/>
        <v>1024</v>
      </c>
      <c r="L304" s="1">
        <f t="shared" si="273"/>
        <v>0</v>
      </c>
      <c r="M304" s="1">
        <f t="shared" si="274"/>
        <v>9.090909090876019E-2</v>
      </c>
      <c r="N304">
        <f t="shared" si="275"/>
        <v>738197504</v>
      </c>
      <c r="O304">
        <f t="shared" si="286"/>
        <v>137438953472</v>
      </c>
      <c r="P304">
        <f t="shared" si="276"/>
        <v>0</v>
      </c>
      <c r="Q304">
        <f t="shared" si="277"/>
        <v>0</v>
      </c>
      <c r="S304">
        <f t="shared" si="278"/>
        <v>0</v>
      </c>
    </row>
    <row r="305" spans="2:19">
      <c r="B305">
        <f t="shared" si="279"/>
        <v>4194304</v>
      </c>
      <c r="D305">
        <f t="shared" si="267"/>
        <v>53687091.200000003</v>
      </c>
      <c r="E305" s="1">
        <f t="shared" si="268"/>
        <v>1</v>
      </c>
      <c r="F305">
        <f t="shared" si="269"/>
        <v>5.0850212574005127E-6</v>
      </c>
      <c r="G305">
        <f t="shared" si="265"/>
        <v>3298534883328</v>
      </c>
      <c r="H305">
        <f t="shared" si="284"/>
        <v>274877906944</v>
      </c>
      <c r="I305">
        <f t="shared" si="288"/>
        <v>805306368</v>
      </c>
      <c r="J305">
        <f t="shared" si="271"/>
        <v>3377699720527872</v>
      </c>
      <c r="K305">
        <f t="shared" si="272"/>
        <v>1024</v>
      </c>
      <c r="L305" s="1">
        <f t="shared" si="273"/>
        <v>0</v>
      </c>
      <c r="M305" s="1">
        <f t="shared" si="274"/>
        <v>8.3333333333030168E-2</v>
      </c>
      <c r="N305">
        <f t="shared" si="275"/>
        <v>805306368</v>
      </c>
      <c r="O305">
        <f t="shared" si="286"/>
        <v>549755813888</v>
      </c>
      <c r="P305">
        <f t="shared" si="276"/>
        <v>0</v>
      </c>
      <c r="Q305">
        <f t="shared" si="277"/>
        <v>0</v>
      </c>
      <c r="S305">
        <f t="shared" si="278"/>
        <v>0</v>
      </c>
    </row>
    <row r="306" spans="2:19">
      <c r="B306">
        <f t="shared" si="279"/>
        <v>4194304</v>
      </c>
      <c r="D306">
        <f t="shared" si="267"/>
        <v>58161015.466666669</v>
      </c>
      <c r="E306" s="1">
        <f t="shared" si="268"/>
        <v>1</v>
      </c>
      <c r="F306">
        <f t="shared" si="269"/>
        <v>4.6938657760620117E-6</v>
      </c>
      <c r="G306">
        <f t="shared" si="265"/>
        <v>3573412790272</v>
      </c>
      <c r="H306">
        <f t="shared" si="284"/>
        <v>274877906944</v>
      </c>
      <c r="I306">
        <f t="shared" si="288"/>
        <v>872415232</v>
      </c>
      <c r="J306">
        <f t="shared" si="271"/>
        <v>3659174697238528</v>
      </c>
      <c r="K306">
        <f t="shared" si="272"/>
        <v>1024</v>
      </c>
      <c r="L306" s="1">
        <f t="shared" si="273"/>
        <v>0</v>
      </c>
      <c r="M306" s="1">
        <f t="shared" si="274"/>
        <v>7.6923076922797082E-2</v>
      </c>
      <c r="N306">
        <f t="shared" si="275"/>
        <v>872415232</v>
      </c>
      <c r="O306">
        <f t="shared" si="286"/>
        <v>137438953472</v>
      </c>
      <c r="P306">
        <f t="shared" si="276"/>
        <v>0</v>
      </c>
      <c r="Q306">
        <f t="shared" si="277"/>
        <v>0</v>
      </c>
      <c r="S306">
        <f t="shared" si="278"/>
        <v>0</v>
      </c>
    </row>
    <row r="307" spans="2:19">
      <c r="B307">
        <f t="shared" si="279"/>
        <v>4194304</v>
      </c>
      <c r="D307">
        <f t="shared" si="267"/>
        <v>62634939.733333334</v>
      </c>
      <c r="E307" s="1">
        <f t="shared" si="268"/>
        <v>1</v>
      </c>
      <c r="F307">
        <f t="shared" si="269"/>
        <v>4.3585896492004395E-6</v>
      </c>
      <c r="G307">
        <f t="shared" si="265"/>
        <v>3848290697216</v>
      </c>
      <c r="H307">
        <f t="shared" si="284"/>
        <v>274877906944</v>
      </c>
      <c r="I307">
        <f t="shared" si="288"/>
        <v>939524096</v>
      </c>
      <c r="J307">
        <f t="shared" si="271"/>
        <v>3940649673949184</v>
      </c>
      <c r="K307">
        <f t="shared" si="272"/>
        <v>1024</v>
      </c>
      <c r="L307" s="1">
        <f t="shared" si="273"/>
        <v>0</v>
      </c>
      <c r="M307" s="1">
        <f t="shared" si="274"/>
        <v>7.1428571428311577E-2</v>
      </c>
      <c r="N307">
        <f t="shared" si="275"/>
        <v>939524096</v>
      </c>
      <c r="O307">
        <f t="shared" si="286"/>
        <v>274877906944</v>
      </c>
      <c r="P307">
        <f t="shared" si="276"/>
        <v>0</v>
      </c>
      <c r="Q307">
        <f t="shared" si="277"/>
        <v>0</v>
      </c>
      <c r="S307">
        <f t="shared" si="278"/>
        <v>0</v>
      </c>
    </row>
    <row r="308" spans="2:19">
      <c r="B308">
        <f t="shared" si="279"/>
        <v>4194304</v>
      </c>
      <c r="D308">
        <f t="shared" si="267"/>
        <v>67108864</v>
      </c>
      <c r="E308" s="1">
        <f t="shared" si="268"/>
        <v>1</v>
      </c>
      <c r="F308">
        <f t="shared" si="269"/>
        <v>4.0680170059204102E-6</v>
      </c>
      <c r="G308">
        <f t="shared" si="265"/>
        <v>4123168604160</v>
      </c>
      <c r="H308">
        <f t="shared" si="284"/>
        <v>274877906944</v>
      </c>
      <c r="I308">
        <f t="shared" si="288"/>
        <v>1006632960</v>
      </c>
      <c r="J308">
        <f t="shared" si="271"/>
        <v>4222124650659840</v>
      </c>
      <c r="K308">
        <f t="shared" si="272"/>
        <v>1024</v>
      </c>
      <c r="L308" s="1">
        <f t="shared" si="273"/>
        <v>0</v>
      </c>
      <c r="M308" s="1">
        <f t="shared" si="274"/>
        <v>6.6666666666424138E-2</v>
      </c>
      <c r="N308">
        <f t="shared" si="275"/>
        <v>1006632960</v>
      </c>
      <c r="O308">
        <f t="shared" si="286"/>
        <v>137438953472</v>
      </c>
      <c r="P308">
        <f t="shared" si="276"/>
        <v>0</v>
      </c>
      <c r="Q308">
        <f t="shared" si="277"/>
        <v>0</v>
      </c>
      <c r="S308">
        <f t="shared" si="278"/>
        <v>0</v>
      </c>
    </row>
    <row r="309" spans="2:19">
      <c r="B309">
        <f t="shared" si="279"/>
        <v>4194304</v>
      </c>
      <c r="D309">
        <f t="shared" si="267"/>
        <v>71582788.266666666</v>
      </c>
      <c r="E309" s="1">
        <f t="shared" si="268"/>
        <v>1</v>
      </c>
      <c r="F309">
        <f t="shared" si="269"/>
        <v>3.8137659430503845E-6</v>
      </c>
      <c r="G309">
        <f t="shared" si="265"/>
        <v>4398046511104</v>
      </c>
      <c r="H309">
        <f t="shared" si="284"/>
        <v>274877906944</v>
      </c>
      <c r="I309">
        <f t="shared" si="288"/>
        <v>1073741824</v>
      </c>
      <c r="J309">
        <f t="shared" si="271"/>
        <v>4503599627370496</v>
      </c>
      <c r="K309">
        <f t="shared" si="272"/>
        <v>1024</v>
      </c>
      <c r="L309" s="1">
        <f t="shared" si="273"/>
        <v>0</v>
      </c>
      <c r="M309" s="1">
        <f t="shared" si="274"/>
        <v>6.2499999999772626E-2</v>
      </c>
      <c r="N309">
        <f t="shared" si="275"/>
        <v>1073741824</v>
      </c>
      <c r="O309">
        <f t="shared" si="286"/>
        <v>4398046511104</v>
      </c>
      <c r="P309">
        <f t="shared" si="276"/>
        <v>0</v>
      </c>
      <c r="Q309">
        <f t="shared" si="277"/>
        <v>0</v>
      </c>
      <c r="S309">
        <f t="shared" si="278"/>
        <v>0</v>
      </c>
    </row>
    <row r="310" spans="2:19">
      <c r="B310">
        <f t="shared" si="279"/>
        <v>4194304</v>
      </c>
      <c r="D310">
        <f t="shared" si="267"/>
        <v>80530636.799999997</v>
      </c>
      <c r="E310" s="1">
        <f t="shared" si="268"/>
        <v>1</v>
      </c>
      <c r="F310">
        <f t="shared" si="269"/>
        <v>3.3900141716003418E-6</v>
      </c>
      <c r="G310">
        <f t="shared" ref="G310:G373" si="289">G309+H310</f>
        <v>4947802324992</v>
      </c>
      <c r="H310">
        <f t="shared" ref="H310" si="290">H302*2</f>
        <v>549755813888</v>
      </c>
      <c r="I310">
        <f t="shared" si="288"/>
        <v>1207959552</v>
      </c>
      <c r="J310">
        <f t="shared" si="271"/>
        <v>5066549580791808</v>
      </c>
      <c r="K310">
        <f t="shared" si="272"/>
        <v>1024</v>
      </c>
      <c r="L310" s="1">
        <f t="shared" si="273"/>
        <v>0</v>
      </c>
      <c r="M310" s="1">
        <f t="shared" si="274"/>
        <v>0.111111111110909</v>
      </c>
      <c r="N310">
        <f t="shared" si="275"/>
        <v>1207959552</v>
      </c>
      <c r="O310">
        <f t="shared" si="286"/>
        <v>274877906944</v>
      </c>
      <c r="P310">
        <f t="shared" si="276"/>
        <v>0</v>
      </c>
      <c r="Q310">
        <f t="shared" si="277"/>
        <v>0</v>
      </c>
      <c r="S310">
        <f t="shared" si="278"/>
        <v>0</v>
      </c>
    </row>
    <row r="311" spans="2:19">
      <c r="B311">
        <f t="shared" si="279"/>
        <v>4194304</v>
      </c>
      <c r="D311">
        <f t="shared" si="267"/>
        <v>89478485.333333328</v>
      </c>
      <c r="E311" s="1">
        <f t="shared" si="268"/>
        <v>1</v>
      </c>
      <c r="F311">
        <f t="shared" si="269"/>
        <v>3.0510127544403076E-6</v>
      </c>
      <c r="G311">
        <f t="shared" si="289"/>
        <v>5497558138880</v>
      </c>
      <c r="H311">
        <f t="shared" si="284"/>
        <v>549755813888</v>
      </c>
      <c r="I311">
        <f t="shared" si="288"/>
        <v>1342177280</v>
      </c>
      <c r="J311">
        <f t="shared" si="271"/>
        <v>5629499534213120</v>
      </c>
      <c r="K311">
        <f t="shared" si="272"/>
        <v>1024</v>
      </c>
      <c r="L311" s="1">
        <f t="shared" si="273"/>
        <v>0</v>
      </c>
      <c r="M311" s="1">
        <f t="shared" si="274"/>
        <v>9.9999999999818096E-2</v>
      </c>
      <c r="N311">
        <f t="shared" si="275"/>
        <v>1342177280</v>
      </c>
      <c r="O311">
        <f t="shared" si="286"/>
        <v>549755813888</v>
      </c>
      <c r="P311">
        <f t="shared" si="276"/>
        <v>0</v>
      </c>
      <c r="Q311">
        <f t="shared" si="277"/>
        <v>0</v>
      </c>
      <c r="S311">
        <f t="shared" si="278"/>
        <v>0</v>
      </c>
    </row>
    <row r="312" spans="2:19">
      <c r="B312">
        <f t="shared" si="279"/>
        <v>4194304</v>
      </c>
      <c r="D312">
        <f t="shared" si="267"/>
        <v>98426333.86666666</v>
      </c>
      <c r="E312" s="1">
        <f t="shared" si="268"/>
        <v>1</v>
      </c>
      <c r="F312">
        <f t="shared" si="269"/>
        <v>2.7736479585820977E-6</v>
      </c>
      <c r="G312">
        <f t="shared" si="289"/>
        <v>6047313952768</v>
      </c>
      <c r="H312">
        <f t="shared" si="284"/>
        <v>549755813888</v>
      </c>
      <c r="I312">
        <f t="shared" si="288"/>
        <v>1476395008</v>
      </c>
      <c r="J312">
        <f t="shared" si="271"/>
        <v>6192449487634432</v>
      </c>
      <c r="K312">
        <f t="shared" si="272"/>
        <v>1024</v>
      </c>
      <c r="L312" s="1">
        <f t="shared" si="273"/>
        <v>0</v>
      </c>
      <c r="M312" s="1">
        <f t="shared" si="274"/>
        <v>9.0909090908925544E-2</v>
      </c>
      <c r="N312">
        <f t="shared" si="275"/>
        <v>1476395008</v>
      </c>
      <c r="O312">
        <f t="shared" si="286"/>
        <v>274877906944</v>
      </c>
      <c r="P312">
        <f t="shared" si="276"/>
        <v>0</v>
      </c>
      <c r="Q312">
        <f t="shared" si="277"/>
        <v>0</v>
      </c>
      <c r="S312">
        <f t="shared" si="278"/>
        <v>0</v>
      </c>
    </row>
    <row r="313" spans="2:19">
      <c r="B313">
        <f t="shared" si="279"/>
        <v>4194304</v>
      </c>
      <c r="D313">
        <f t="shared" si="267"/>
        <v>107374182.40000001</v>
      </c>
      <c r="E313" s="1">
        <f t="shared" si="268"/>
        <v>1</v>
      </c>
      <c r="F313">
        <f t="shared" si="269"/>
        <v>2.5425106287002563E-6</v>
      </c>
      <c r="G313">
        <f t="shared" si="289"/>
        <v>6597069766656</v>
      </c>
      <c r="H313">
        <f t="shared" si="284"/>
        <v>549755813888</v>
      </c>
      <c r="I313">
        <f t="shared" si="288"/>
        <v>1610612736</v>
      </c>
      <c r="J313">
        <f t="shared" si="271"/>
        <v>6755399441055744</v>
      </c>
      <c r="K313">
        <f t="shared" si="272"/>
        <v>1024</v>
      </c>
      <c r="L313" s="1">
        <f t="shared" si="273"/>
        <v>0</v>
      </c>
      <c r="M313" s="1">
        <f t="shared" si="274"/>
        <v>8.3333333333181756E-2</v>
      </c>
      <c r="N313">
        <f t="shared" si="275"/>
        <v>1610612736</v>
      </c>
      <c r="O313">
        <f t="shared" si="286"/>
        <v>1099511627776</v>
      </c>
      <c r="P313">
        <f t="shared" si="276"/>
        <v>0</v>
      </c>
      <c r="Q313">
        <f t="shared" si="277"/>
        <v>0</v>
      </c>
      <c r="S313">
        <f t="shared" si="278"/>
        <v>0</v>
      </c>
    </row>
    <row r="314" spans="2:19">
      <c r="B314">
        <f t="shared" si="279"/>
        <v>4194304</v>
      </c>
      <c r="D314">
        <f t="shared" si="267"/>
        <v>116322030.93333334</v>
      </c>
      <c r="E314" s="1">
        <f t="shared" si="268"/>
        <v>1</v>
      </c>
      <c r="F314">
        <f t="shared" si="269"/>
        <v>2.3469328880310059E-6</v>
      </c>
      <c r="G314">
        <f t="shared" si="289"/>
        <v>7146825580544</v>
      </c>
      <c r="H314">
        <f t="shared" si="284"/>
        <v>549755813888</v>
      </c>
      <c r="I314">
        <f t="shared" si="288"/>
        <v>1744830464</v>
      </c>
      <c r="J314">
        <f t="shared" si="271"/>
        <v>7318349394477056</v>
      </c>
      <c r="K314">
        <f t="shared" si="272"/>
        <v>1024</v>
      </c>
      <c r="L314" s="1">
        <f t="shared" si="273"/>
        <v>0</v>
      </c>
      <c r="M314" s="1">
        <f t="shared" si="274"/>
        <v>7.6923076922936998E-2</v>
      </c>
      <c r="N314">
        <f t="shared" si="275"/>
        <v>1744830464</v>
      </c>
      <c r="O314">
        <f t="shared" si="286"/>
        <v>274877906944</v>
      </c>
      <c r="P314">
        <f t="shared" si="276"/>
        <v>0</v>
      </c>
      <c r="Q314">
        <f t="shared" si="277"/>
        <v>0</v>
      </c>
      <c r="S314">
        <f t="shared" si="278"/>
        <v>0</v>
      </c>
    </row>
    <row r="315" spans="2:19">
      <c r="B315">
        <f t="shared" si="279"/>
        <v>4194304</v>
      </c>
      <c r="D315">
        <f t="shared" si="267"/>
        <v>125269879.46666667</v>
      </c>
      <c r="E315" s="1">
        <f t="shared" si="268"/>
        <v>1</v>
      </c>
      <c r="F315">
        <f t="shared" si="269"/>
        <v>2.1792948246002197E-6</v>
      </c>
      <c r="G315">
        <f t="shared" si="289"/>
        <v>7696581394432</v>
      </c>
      <c r="H315">
        <f t="shared" si="284"/>
        <v>549755813888</v>
      </c>
      <c r="I315">
        <f t="shared" si="288"/>
        <v>1879048192</v>
      </c>
      <c r="J315">
        <f t="shared" si="271"/>
        <v>7881299347898368</v>
      </c>
      <c r="K315">
        <f t="shared" si="272"/>
        <v>1024</v>
      </c>
      <c r="L315" s="1">
        <f t="shared" si="273"/>
        <v>0</v>
      </c>
      <c r="M315" s="1">
        <f t="shared" si="274"/>
        <v>7.1428571428441501E-2</v>
      </c>
      <c r="N315">
        <f t="shared" si="275"/>
        <v>1879048192</v>
      </c>
      <c r="O315">
        <f t="shared" si="286"/>
        <v>549755813888</v>
      </c>
      <c r="P315">
        <f t="shared" si="276"/>
        <v>0</v>
      </c>
      <c r="Q315">
        <f t="shared" si="277"/>
        <v>0</v>
      </c>
      <c r="S315">
        <f t="shared" si="278"/>
        <v>0</v>
      </c>
    </row>
    <row r="316" spans="2:19">
      <c r="B316">
        <f t="shared" si="279"/>
        <v>4194304</v>
      </c>
      <c r="D316">
        <f t="shared" si="267"/>
        <v>134217728</v>
      </c>
      <c r="E316" s="1">
        <f t="shared" si="268"/>
        <v>1</v>
      </c>
      <c r="F316">
        <f t="shared" si="269"/>
        <v>2.0340085029602051E-6</v>
      </c>
      <c r="G316">
        <f t="shared" si="289"/>
        <v>8246337208320</v>
      </c>
      <c r="H316">
        <f t="shared" si="284"/>
        <v>549755813888</v>
      </c>
      <c r="I316">
        <f t="shared" si="288"/>
        <v>2013265920</v>
      </c>
      <c r="J316">
        <f t="shared" si="271"/>
        <v>8444249301319680</v>
      </c>
      <c r="K316">
        <f t="shared" si="272"/>
        <v>1024</v>
      </c>
      <c r="L316" s="1">
        <f t="shared" si="273"/>
        <v>0</v>
      </c>
      <c r="M316" s="1">
        <f t="shared" si="274"/>
        <v>6.6666666666545402E-2</v>
      </c>
      <c r="N316">
        <f t="shared" si="275"/>
        <v>2013265920</v>
      </c>
      <c r="O316">
        <f t="shared" si="286"/>
        <v>274877906944</v>
      </c>
      <c r="P316">
        <f t="shared" si="276"/>
        <v>0</v>
      </c>
      <c r="Q316">
        <f t="shared" si="277"/>
        <v>0</v>
      </c>
      <c r="S316">
        <f t="shared" si="278"/>
        <v>0</v>
      </c>
    </row>
    <row r="317" spans="2:19">
      <c r="B317">
        <f t="shared" si="279"/>
        <v>4194304</v>
      </c>
      <c r="D317">
        <f t="shared" ref="D317:D380" si="291">I317/15</f>
        <v>143165576.53333333</v>
      </c>
      <c r="E317" s="1">
        <f t="shared" ref="E317:E380" si="292">(F317 - FLOOR(F317,1))/F317</f>
        <v>1</v>
      </c>
      <c r="F317">
        <f t="shared" ref="F317:F380" si="293">$E$22/I317</f>
        <v>1.9068829715251923E-6</v>
      </c>
      <c r="G317">
        <f t="shared" si="289"/>
        <v>8796093022208</v>
      </c>
      <c r="H317">
        <f t="shared" si="284"/>
        <v>549755813888</v>
      </c>
      <c r="I317">
        <f t="shared" si="288"/>
        <v>2147483648</v>
      </c>
      <c r="J317">
        <f t="shared" si="271"/>
        <v>9007199254740992</v>
      </c>
      <c r="K317">
        <f t="shared" si="272"/>
        <v>1024</v>
      </c>
      <c r="L317" s="1">
        <f t="shared" si="273"/>
        <v>0</v>
      </c>
      <c r="M317" s="1">
        <f t="shared" si="274"/>
        <v>6.2499999999886313E-2</v>
      </c>
      <c r="N317">
        <f t="shared" si="275"/>
        <v>2147483648</v>
      </c>
      <c r="O317">
        <f t="shared" si="286"/>
        <v>8796093022208</v>
      </c>
      <c r="P317">
        <f t="shared" si="276"/>
        <v>0</v>
      </c>
      <c r="Q317">
        <f t="shared" si="277"/>
        <v>0</v>
      </c>
      <c r="S317">
        <f t="shared" si="278"/>
        <v>0</v>
      </c>
    </row>
    <row r="318" spans="2:19">
      <c r="B318">
        <f t="shared" si="279"/>
        <v>4194304</v>
      </c>
      <c r="D318">
        <f t="shared" si="291"/>
        <v>161061273.59999999</v>
      </c>
      <c r="E318" s="1">
        <f t="shared" si="292"/>
        <v>1</v>
      </c>
      <c r="F318">
        <f t="shared" si="293"/>
        <v>1.6950070858001709E-6</v>
      </c>
      <c r="G318">
        <f t="shared" si="289"/>
        <v>9895604649984</v>
      </c>
      <c r="H318">
        <f t="shared" ref="H318" si="294">H310*2</f>
        <v>1099511627776</v>
      </c>
      <c r="I318">
        <f t="shared" si="288"/>
        <v>2415919104</v>
      </c>
      <c r="J318">
        <f t="shared" ref="J318:J381" si="295">B318*I318</f>
        <v>1.0133099161583616E+16</v>
      </c>
      <c r="K318">
        <f t="shared" ref="K318:K381" si="296">FLOOR(J318/G318,1)</f>
        <v>1024</v>
      </c>
      <c r="L318" s="1">
        <f t="shared" ref="L318:L381" si="297">(J318-K318*G318)/J318</f>
        <v>0</v>
      </c>
      <c r="M318" s="1">
        <f t="shared" ref="M318:M381" si="298">(G318-(G317+1))/(G318)</f>
        <v>0.11111111111101006</v>
      </c>
      <c r="N318">
        <f t="shared" ref="N318:N381" si="299">J318/B318</f>
        <v>2415919104</v>
      </c>
      <c r="O318">
        <f t="shared" si="286"/>
        <v>549755813888</v>
      </c>
      <c r="P318">
        <f t="shared" ref="P318:P381" si="300">J318-G318*K318</f>
        <v>0</v>
      </c>
      <c r="Q318">
        <f t="shared" ref="Q318:Q381" si="301">P318/I318</f>
        <v>0</v>
      </c>
      <c r="S318">
        <f t="shared" ref="S318:S381" si="302">FLOOR((G318 + (B318-1))/B318, 1)*B318 - G318</f>
        <v>0</v>
      </c>
    </row>
    <row r="319" spans="2:19">
      <c r="B319">
        <f t="shared" ref="B319:B382" si="303">B318</f>
        <v>4194304</v>
      </c>
      <c r="D319">
        <f t="shared" si="291"/>
        <v>178956970.66666666</v>
      </c>
      <c r="E319" s="1">
        <f t="shared" si="292"/>
        <v>1</v>
      </c>
      <c r="F319">
        <f t="shared" si="293"/>
        <v>1.5255063772201538E-6</v>
      </c>
      <c r="G319">
        <f t="shared" si="289"/>
        <v>10995116277760</v>
      </c>
      <c r="H319">
        <f t="shared" si="284"/>
        <v>1099511627776</v>
      </c>
      <c r="I319">
        <f t="shared" si="288"/>
        <v>2684354560</v>
      </c>
      <c r="J319">
        <f t="shared" si="295"/>
        <v>1.125899906842624E+16</v>
      </c>
      <c r="K319">
        <f t="shared" si="296"/>
        <v>1024</v>
      </c>
      <c r="L319" s="1">
        <f t="shared" si="297"/>
        <v>0</v>
      </c>
      <c r="M319" s="1">
        <f t="shared" si="298"/>
        <v>9.9999999999909051E-2</v>
      </c>
      <c r="N319">
        <f t="shared" si="299"/>
        <v>2684354560</v>
      </c>
      <c r="O319">
        <f t="shared" si="286"/>
        <v>1099511627776</v>
      </c>
      <c r="P319">
        <f t="shared" si="300"/>
        <v>0</v>
      </c>
      <c r="Q319">
        <f t="shared" si="301"/>
        <v>0</v>
      </c>
      <c r="S319">
        <f t="shared" si="302"/>
        <v>0</v>
      </c>
    </row>
    <row r="320" spans="2:19">
      <c r="B320">
        <f t="shared" si="303"/>
        <v>4194304</v>
      </c>
      <c r="D320">
        <f t="shared" si="291"/>
        <v>196852667.73333332</v>
      </c>
      <c r="E320" s="1">
        <f t="shared" si="292"/>
        <v>1</v>
      </c>
      <c r="F320">
        <f t="shared" si="293"/>
        <v>1.3868239792910488E-6</v>
      </c>
      <c r="G320">
        <f t="shared" si="289"/>
        <v>12094627905536</v>
      </c>
      <c r="H320">
        <f t="shared" si="284"/>
        <v>1099511627776</v>
      </c>
      <c r="I320">
        <f t="shared" si="288"/>
        <v>2952790016</v>
      </c>
      <c r="J320">
        <f t="shared" si="295"/>
        <v>1.2384898975268864E+16</v>
      </c>
      <c r="K320">
        <f t="shared" si="296"/>
        <v>1024</v>
      </c>
      <c r="L320" s="1">
        <f t="shared" si="297"/>
        <v>0</v>
      </c>
      <c r="M320" s="1">
        <f t="shared" si="298"/>
        <v>9.0909090909008228E-2</v>
      </c>
      <c r="N320">
        <f t="shared" si="299"/>
        <v>2952790016</v>
      </c>
      <c r="O320">
        <f t="shared" si="286"/>
        <v>549755813888</v>
      </c>
      <c r="P320">
        <f t="shared" si="300"/>
        <v>0</v>
      </c>
      <c r="Q320">
        <f t="shared" si="301"/>
        <v>0</v>
      </c>
      <c r="S320">
        <f t="shared" si="302"/>
        <v>0</v>
      </c>
    </row>
    <row r="321" spans="2:19">
      <c r="B321">
        <f t="shared" si="303"/>
        <v>4194304</v>
      </c>
      <c r="D321">
        <f t="shared" si="291"/>
        <v>214748364.80000001</v>
      </c>
      <c r="E321" s="1">
        <f t="shared" si="292"/>
        <v>1</v>
      </c>
      <c r="F321">
        <f t="shared" si="293"/>
        <v>1.2712553143501282E-6</v>
      </c>
      <c r="G321">
        <f t="shared" si="289"/>
        <v>13194139533312</v>
      </c>
      <c r="H321">
        <f t="shared" si="284"/>
        <v>1099511627776</v>
      </c>
      <c r="I321">
        <f t="shared" si="288"/>
        <v>3221225472</v>
      </c>
      <c r="J321">
        <f t="shared" si="295"/>
        <v>1.3510798882111488E+16</v>
      </c>
      <c r="K321">
        <f t="shared" si="296"/>
        <v>1024</v>
      </c>
      <c r="L321" s="1">
        <f t="shared" si="297"/>
        <v>0</v>
      </c>
      <c r="M321" s="1">
        <f t="shared" si="298"/>
        <v>8.3333333333257542E-2</v>
      </c>
      <c r="N321">
        <f t="shared" si="299"/>
        <v>3221225472</v>
      </c>
      <c r="O321">
        <f t="shared" si="286"/>
        <v>2199023255552</v>
      </c>
      <c r="P321">
        <f t="shared" si="300"/>
        <v>0</v>
      </c>
      <c r="Q321">
        <f t="shared" si="301"/>
        <v>0</v>
      </c>
      <c r="S321">
        <f t="shared" si="302"/>
        <v>0</v>
      </c>
    </row>
    <row r="322" spans="2:19">
      <c r="B322">
        <f t="shared" si="303"/>
        <v>4194304</v>
      </c>
      <c r="D322">
        <f t="shared" si="291"/>
        <v>232644061.86666667</v>
      </c>
      <c r="E322" s="1">
        <f t="shared" si="292"/>
        <v>1</v>
      </c>
      <c r="F322">
        <f t="shared" si="293"/>
        <v>1.1734664440155029E-6</v>
      </c>
      <c r="G322">
        <f t="shared" si="289"/>
        <v>14293651161088</v>
      </c>
      <c r="H322">
        <f t="shared" si="284"/>
        <v>1099511627776</v>
      </c>
      <c r="I322">
        <f t="shared" si="288"/>
        <v>3489660928</v>
      </c>
      <c r="J322">
        <f t="shared" si="295"/>
        <v>1.4636698788954112E+16</v>
      </c>
      <c r="K322">
        <f t="shared" si="296"/>
        <v>1024</v>
      </c>
      <c r="L322" s="1">
        <f t="shared" si="297"/>
        <v>0</v>
      </c>
      <c r="M322" s="1">
        <f t="shared" si="298"/>
        <v>7.6923076923006956E-2</v>
      </c>
      <c r="N322">
        <f t="shared" si="299"/>
        <v>3489660928</v>
      </c>
      <c r="O322">
        <f t="shared" si="286"/>
        <v>549755813888</v>
      </c>
      <c r="P322">
        <f t="shared" si="300"/>
        <v>0</v>
      </c>
      <c r="Q322">
        <f t="shared" si="301"/>
        <v>0</v>
      </c>
      <c r="S322">
        <f t="shared" si="302"/>
        <v>0</v>
      </c>
    </row>
    <row r="323" spans="2:19">
      <c r="B323">
        <f t="shared" si="303"/>
        <v>4194304</v>
      </c>
      <c r="D323">
        <f t="shared" si="291"/>
        <v>250539758.93333334</v>
      </c>
      <c r="E323" s="1">
        <f t="shared" si="292"/>
        <v>1</v>
      </c>
      <c r="F323">
        <f t="shared" si="293"/>
        <v>1.0896474123001099E-6</v>
      </c>
      <c r="G323">
        <f t="shared" si="289"/>
        <v>15393162788864</v>
      </c>
      <c r="H323">
        <f t="shared" si="284"/>
        <v>1099511627776</v>
      </c>
      <c r="I323">
        <f t="shared" si="288"/>
        <v>3758096384</v>
      </c>
      <c r="J323">
        <f t="shared" si="295"/>
        <v>1.5762598695796736E+16</v>
      </c>
      <c r="K323">
        <f t="shared" si="296"/>
        <v>1024</v>
      </c>
      <c r="L323" s="1">
        <f t="shared" si="297"/>
        <v>0</v>
      </c>
      <c r="M323" s="1">
        <f t="shared" si="298"/>
        <v>7.1428571428506463E-2</v>
      </c>
      <c r="N323">
        <f t="shared" si="299"/>
        <v>3758096384</v>
      </c>
      <c r="O323">
        <f t="shared" si="286"/>
        <v>1099511627776</v>
      </c>
      <c r="P323">
        <f t="shared" si="300"/>
        <v>0</v>
      </c>
      <c r="Q323">
        <f t="shared" si="301"/>
        <v>0</v>
      </c>
      <c r="S323">
        <f t="shared" si="302"/>
        <v>0</v>
      </c>
    </row>
    <row r="324" spans="2:19">
      <c r="B324">
        <f t="shared" si="303"/>
        <v>4194304</v>
      </c>
      <c r="D324">
        <f t="shared" si="291"/>
        <v>268435456</v>
      </c>
      <c r="E324" s="1">
        <f t="shared" si="292"/>
        <v>1</v>
      </c>
      <c r="F324">
        <f t="shared" si="293"/>
        <v>1.0170042514801025E-6</v>
      </c>
      <c r="G324">
        <f t="shared" si="289"/>
        <v>16492674416640</v>
      </c>
      <c r="H324">
        <f t="shared" si="284"/>
        <v>1099511627776</v>
      </c>
      <c r="I324">
        <f t="shared" si="288"/>
        <v>4026531840</v>
      </c>
      <c r="J324">
        <f t="shared" si="295"/>
        <v>1.688849860263936E+16</v>
      </c>
      <c r="K324">
        <f t="shared" si="296"/>
        <v>1024</v>
      </c>
      <c r="L324" s="1">
        <f t="shared" si="297"/>
        <v>0</v>
      </c>
      <c r="M324" s="1">
        <f t="shared" si="298"/>
        <v>6.6666666666606034E-2</v>
      </c>
      <c r="N324">
        <f t="shared" si="299"/>
        <v>4026531840</v>
      </c>
      <c r="O324">
        <f t="shared" si="286"/>
        <v>549755813888</v>
      </c>
      <c r="P324">
        <f t="shared" si="300"/>
        <v>0</v>
      </c>
      <c r="Q324">
        <f t="shared" si="301"/>
        <v>0</v>
      </c>
      <c r="S324">
        <f t="shared" si="302"/>
        <v>0</v>
      </c>
    </row>
    <row r="325" spans="2:19">
      <c r="B325">
        <f t="shared" si="303"/>
        <v>4194304</v>
      </c>
      <c r="D325">
        <f t="shared" si="291"/>
        <v>286331153.06666666</v>
      </c>
      <c r="E325" s="1">
        <f t="shared" si="292"/>
        <v>1</v>
      </c>
      <c r="F325">
        <f t="shared" si="293"/>
        <v>9.5344148576259613E-7</v>
      </c>
      <c r="G325">
        <f t="shared" si="289"/>
        <v>17592186044416</v>
      </c>
      <c r="H325">
        <f t="shared" si="284"/>
        <v>1099511627776</v>
      </c>
      <c r="I325">
        <f t="shared" si="288"/>
        <v>4294967296</v>
      </c>
      <c r="J325">
        <f t="shared" si="295"/>
        <v>1.8014398509481984E+16</v>
      </c>
      <c r="K325">
        <f t="shared" si="296"/>
        <v>1024</v>
      </c>
      <c r="L325" s="1">
        <f t="shared" si="297"/>
        <v>0</v>
      </c>
      <c r="M325" s="1">
        <f t="shared" si="298"/>
        <v>6.2499999999943157E-2</v>
      </c>
      <c r="N325">
        <f t="shared" si="299"/>
        <v>4294967296</v>
      </c>
      <c r="O325">
        <f t="shared" si="286"/>
        <v>17592186044416</v>
      </c>
      <c r="P325">
        <f t="shared" si="300"/>
        <v>0</v>
      </c>
      <c r="Q325">
        <f t="shared" si="301"/>
        <v>0</v>
      </c>
      <c r="S325">
        <f t="shared" si="302"/>
        <v>0</v>
      </c>
    </row>
    <row r="326" spans="2:19">
      <c r="B326">
        <f t="shared" si="303"/>
        <v>4194304</v>
      </c>
      <c r="D326">
        <f t="shared" si="291"/>
        <v>322122547.19999999</v>
      </c>
      <c r="E326" s="1">
        <f t="shared" si="292"/>
        <v>1</v>
      </c>
      <c r="F326">
        <f t="shared" si="293"/>
        <v>8.4750354290008545E-7</v>
      </c>
      <c r="G326">
        <f t="shared" si="289"/>
        <v>19791209299968</v>
      </c>
      <c r="H326">
        <f t="shared" ref="H326" si="304">H318*2</f>
        <v>2199023255552</v>
      </c>
      <c r="I326">
        <f t="shared" si="288"/>
        <v>4831838208</v>
      </c>
      <c r="J326">
        <f t="shared" si="295"/>
        <v>2.0266198323167232E+16</v>
      </c>
      <c r="K326">
        <f t="shared" si="296"/>
        <v>1024</v>
      </c>
      <c r="L326" s="1">
        <f t="shared" si="297"/>
        <v>0</v>
      </c>
      <c r="M326" s="1">
        <f t="shared" si="298"/>
        <v>0.11111111111106059</v>
      </c>
      <c r="N326">
        <f t="shared" si="299"/>
        <v>4831838208</v>
      </c>
      <c r="O326">
        <f t="shared" si="286"/>
        <v>1099511627776</v>
      </c>
      <c r="P326">
        <f t="shared" si="300"/>
        <v>0</v>
      </c>
      <c r="Q326">
        <f t="shared" si="301"/>
        <v>0</v>
      </c>
      <c r="S326">
        <f t="shared" si="302"/>
        <v>0</v>
      </c>
    </row>
    <row r="327" spans="2:19">
      <c r="B327">
        <f t="shared" si="303"/>
        <v>4194304</v>
      </c>
      <c r="D327">
        <f t="shared" si="291"/>
        <v>357913941.33333331</v>
      </c>
      <c r="E327" s="1">
        <f t="shared" si="292"/>
        <v>1</v>
      </c>
      <c r="F327">
        <f t="shared" si="293"/>
        <v>7.627531886100769E-7</v>
      </c>
      <c r="G327">
        <f t="shared" si="289"/>
        <v>21990232555520</v>
      </c>
      <c r="H327">
        <f t="shared" si="284"/>
        <v>2199023255552</v>
      </c>
      <c r="I327">
        <f t="shared" si="288"/>
        <v>5368709120</v>
      </c>
      <c r="J327">
        <f t="shared" si="295"/>
        <v>2.251799813685248E+16</v>
      </c>
      <c r="K327">
        <f t="shared" si="296"/>
        <v>1024</v>
      </c>
      <c r="L327" s="1">
        <f t="shared" si="297"/>
        <v>0</v>
      </c>
      <c r="M327" s="1">
        <f t="shared" si="298"/>
        <v>9.9999999999954528E-2</v>
      </c>
      <c r="N327">
        <f t="shared" si="299"/>
        <v>5368709120</v>
      </c>
      <c r="O327">
        <f t="shared" si="286"/>
        <v>2199023255552</v>
      </c>
      <c r="P327">
        <f t="shared" si="300"/>
        <v>0</v>
      </c>
      <c r="Q327">
        <f t="shared" si="301"/>
        <v>0</v>
      </c>
      <c r="S327">
        <f t="shared" si="302"/>
        <v>0</v>
      </c>
    </row>
    <row r="328" spans="2:19">
      <c r="B328">
        <f t="shared" si="303"/>
        <v>4194304</v>
      </c>
      <c r="D328">
        <f t="shared" si="291"/>
        <v>393705335.46666664</v>
      </c>
      <c r="E328" s="1">
        <f t="shared" si="292"/>
        <v>1</v>
      </c>
      <c r="F328">
        <f t="shared" si="293"/>
        <v>6.9341198964552442E-7</v>
      </c>
      <c r="G328">
        <f t="shared" si="289"/>
        <v>24189255811072</v>
      </c>
      <c r="H328">
        <f t="shared" si="284"/>
        <v>2199023255552</v>
      </c>
      <c r="I328">
        <f t="shared" si="288"/>
        <v>5905580032</v>
      </c>
      <c r="J328">
        <f t="shared" si="295"/>
        <v>2.4769797950537728E+16</v>
      </c>
      <c r="K328">
        <f t="shared" si="296"/>
        <v>1024</v>
      </c>
      <c r="L328" s="1">
        <f t="shared" si="297"/>
        <v>0</v>
      </c>
      <c r="M328" s="1">
        <f t="shared" si="298"/>
        <v>9.090909090904957E-2</v>
      </c>
      <c r="N328">
        <f t="shared" si="299"/>
        <v>5905580032</v>
      </c>
      <c r="O328">
        <f t="shared" si="286"/>
        <v>1099511627776</v>
      </c>
      <c r="P328">
        <f t="shared" si="300"/>
        <v>0</v>
      </c>
      <c r="Q328">
        <f t="shared" si="301"/>
        <v>0</v>
      </c>
      <c r="S328">
        <f t="shared" si="302"/>
        <v>0</v>
      </c>
    </row>
    <row r="329" spans="2:19">
      <c r="B329">
        <f t="shared" si="303"/>
        <v>4194304</v>
      </c>
      <c r="D329">
        <f t="shared" si="291"/>
        <v>429496729.60000002</v>
      </c>
      <c r="E329" s="1">
        <f t="shared" si="292"/>
        <v>1</v>
      </c>
      <c r="F329">
        <f t="shared" si="293"/>
        <v>6.3562765717506409E-7</v>
      </c>
      <c r="G329">
        <f t="shared" si="289"/>
        <v>26388279066624</v>
      </c>
      <c r="H329">
        <f t="shared" si="284"/>
        <v>2199023255552</v>
      </c>
      <c r="I329">
        <f t="shared" si="288"/>
        <v>6442450944</v>
      </c>
      <c r="J329">
        <f t="shared" si="295"/>
        <v>2.7021597764222976E+16</v>
      </c>
      <c r="K329">
        <f t="shared" si="296"/>
        <v>1024</v>
      </c>
      <c r="L329" s="1">
        <f t="shared" si="297"/>
        <v>0</v>
      </c>
      <c r="M329" s="1">
        <f t="shared" si="298"/>
        <v>8.3333333333295442E-2</v>
      </c>
      <c r="N329">
        <f t="shared" si="299"/>
        <v>6442450944</v>
      </c>
      <c r="O329">
        <f t="shared" si="286"/>
        <v>4398046511104</v>
      </c>
      <c r="P329">
        <f t="shared" si="300"/>
        <v>0</v>
      </c>
      <c r="Q329">
        <f t="shared" si="301"/>
        <v>0</v>
      </c>
      <c r="S329">
        <f t="shared" si="302"/>
        <v>0</v>
      </c>
    </row>
    <row r="330" spans="2:19">
      <c r="B330">
        <f t="shared" si="303"/>
        <v>4194304</v>
      </c>
      <c r="D330">
        <f t="shared" si="291"/>
        <v>465288123.73333335</v>
      </c>
      <c r="E330" s="1">
        <f t="shared" si="292"/>
        <v>1</v>
      </c>
      <c r="F330">
        <f t="shared" si="293"/>
        <v>5.8673322200775146E-7</v>
      </c>
      <c r="G330">
        <f t="shared" si="289"/>
        <v>28587302322176</v>
      </c>
      <c r="H330">
        <f t="shared" si="284"/>
        <v>2199023255552</v>
      </c>
      <c r="I330">
        <f t="shared" si="288"/>
        <v>6979321856</v>
      </c>
      <c r="J330">
        <f t="shared" si="295"/>
        <v>2.9273397577908224E+16</v>
      </c>
      <c r="K330">
        <f t="shared" si="296"/>
        <v>1024</v>
      </c>
      <c r="L330" s="1">
        <f t="shared" si="297"/>
        <v>0</v>
      </c>
      <c r="M330" s="1">
        <f t="shared" si="298"/>
        <v>7.6923076923041941E-2</v>
      </c>
      <c r="N330">
        <f t="shared" si="299"/>
        <v>6979321856</v>
      </c>
      <c r="O330">
        <f t="shared" si="286"/>
        <v>1099511627776</v>
      </c>
      <c r="P330">
        <f t="shared" si="300"/>
        <v>0</v>
      </c>
      <c r="Q330">
        <f t="shared" si="301"/>
        <v>0</v>
      </c>
      <c r="S330">
        <f t="shared" si="302"/>
        <v>0</v>
      </c>
    </row>
    <row r="331" spans="2:19">
      <c r="B331">
        <f t="shared" si="303"/>
        <v>4194304</v>
      </c>
      <c r="D331">
        <f t="shared" si="291"/>
        <v>501079517.86666667</v>
      </c>
      <c r="E331" s="1">
        <f t="shared" si="292"/>
        <v>1</v>
      </c>
      <c r="F331">
        <f t="shared" si="293"/>
        <v>5.4482370615005493E-7</v>
      </c>
      <c r="G331">
        <f t="shared" si="289"/>
        <v>30786325577728</v>
      </c>
      <c r="H331">
        <f t="shared" si="284"/>
        <v>2199023255552</v>
      </c>
      <c r="I331">
        <f t="shared" si="288"/>
        <v>7516192768</v>
      </c>
      <c r="J331">
        <f t="shared" si="295"/>
        <v>3.1525197391593472E+16</v>
      </c>
      <c r="K331">
        <f t="shared" si="296"/>
        <v>1024</v>
      </c>
      <c r="L331" s="1">
        <f t="shared" si="297"/>
        <v>0</v>
      </c>
      <c r="M331" s="1">
        <f t="shared" si="298"/>
        <v>7.1428571428538951E-2</v>
      </c>
      <c r="N331">
        <f t="shared" si="299"/>
        <v>7516192768</v>
      </c>
      <c r="O331">
        <f t="shared" si="286"/>
        <v>2199023255552</v>
      </c>
      <c r="P331">
        <f t="shared" si="300"/>
        <v>0</v>
      </c>
      <c r="Q331">
        <f t="shared" si="301"/>
        <v>0</v>
      </c>
      <c r="S331">
        <f t="shared" si="302"/>
        <v>0</v>
      </c>
    </row>
    <row r="332" spans="2:19">
      <c r="B332">
        <f t="shared" si="303"/>
        <v>4194304</v>
      </c>
      <c r="D332">
        <f t="shared" si="291"/>
        <v>536870912</v>
      </c>
      <c r="E332" s="1">
        <f t="shared" si="292"/>
        <v>1</v>
      </c>
      <c r="F332">
        <f t="shared" si="293"/>
        <v>5.0850212574005127E-7</v>
      </c>
      <c r="G332">
        <f t="shared" si="289"/>
        <v>32985348833280</v>
      </c>
      <c r="H332">
        <f t="shared" si="284"/>
        <v>2199023255552</v>
      </c>
      <c r="I332">
        <f t="shared" si="288"/>
        <v>8053063680</v>
      </c>
      <c r="J332">
        <f t="shared" si="295"/>
        <v>3.377699720527872E+16</v>
      </c>
      <c r="K332">
        <f t="shared" si="296"/>
        <v>1024</v>
      </c>
      <c r="L332" s="1">
        <f t="shared" si="297"/>
        <v>0</v>
      </c>
      <c r="M332" s="1">
        <f t="shared" si="298"/>
        <v>6.6666666666636357E-2</v>
      </c>
      <c r="N332">
        <f t="shared" si="299"/>
        <v>8053063680</v>
      </c>
      <c r="O332">
        <f t="shared" si="286"/>
        <v>1099511627776</v>
      </c>
      <c r="P332">
        <f t="shared" si="300"/>
        <v>0</v>
      </c>
      <c r="Q332">
        <f t="shared" si="301"/>
        <v>0</v>
      </c>
      <c r="S332">
        <f t="shared" si="302"/>
        <v>0</v>
      </c>
    </row>
    <row r="333" spans="2:19">
      <c r="B333">
        <f t="shared" si="303"/>
        <v>4194304</v>
      </c>
      <c r="D333">
        <f t="shared" si="291"/>
        <v>572662306.13333333</v>
      </c>
      <c r="E333" s="1">
        <f t="shared" si="292"/>
        <v>1</v>
      </c>
      <c r="F333">
        <f t="shared" si="293"/>
        <v>4.7672074288129807E-7</v>
      </c>
      <c r="G333">
        <f t="shared" si="289"/>
        <v>35184372088832</v>
      </c>
      <c r="H333">
        <f t="shared" si="284"/>
        <v>2199023255552</v>
      </c>
      <c r="I333">
        <f t="shared" si="288"/>
        <v>8589934592</v>
      </c>
      <c r="J333">
        <f t="shared" si="295"/>
        <v>3.6028797018963968E+16</v>
      </c>
      <c r="K333">
        <f t="shared" si="296"/>
        <v>1024</v>
      </c>
      <c r="L333" s="1">
        <f t="shared" si="297"/>
        <v>0</v>
      </c>
      <c r="M333" s="1">
        <f t="shared" si="298"/>
        <v>6.2499999999971578E-2</v>
      </c>
      <c r="N333">
        <f t="shared" si="299"/>
        <v>8589934592</v>
      </c>
      <c r="O333">
        <f t="shared" si="286"/>
        <v>35184372088832</v>
      </c>
      <c r="P333">
        <f t="shared" si="300"/>
        <v>0</v>
      </c>
      <c r="Q333">
        <f t="shared" si="301"/>
        <v>0</v>
      </c>
      <c r="S333">
        <f t="shared" si="302"/>
        <v>0</v>
      </c>
    </row>
    <row r="334" spans="2:19">
      <c r="B334">
        <f t="shared" si="303"/>
        <v>4194304</v>
      </c>
      <c r="D334">
        <f t="shared" si="291"/>
        <v>644245094.39999998</v>
      </c>
      <c r="E334" s="1">
        <f t="shared" si="292"/>
        <v>1</v>
      </c>
      <c r="F334">
        <f t="shared" si="293"/>
        <v>4.2375177145004272E-7</v>
      </c>
      <c r="G334">
        <f t="shared" si="289"/>
        <v>39582418599936</v>
      </c>
      <c r="H334">
        <f t="shared" ref="H334" si="305">H326*2</f>
        <v>4398046511104</v>
      </c>
      <c r="I334">
        <f t="shared" si="288"/>
        <v>9663676416</v>
      </c>
      <c r="J334">
        <f t="shared" si="295"/>
        <v>4.0532396646334464E+16</v>
      </c>
      <c r="K334">
        <f t="shared" si="296"/>
        <v>1024</v>
      </c>
      <c r="L334" s="1">
        <f t="shared" si="297"/>
        <v>0</v>
      </c>
      <c r="M334" s="1">
        <f t="shared" si="298"/>
        <v>0.11111111111108585</v>
      </c>
      <c r="N334">
        <f t="shared" si="299"/>
        <v>9663676416</v>
      </c>
      <c r="O334">
        <f t="shared" si="286"/>
        <v>2199023255552</v>
      </c>
      <c r="P334">
        <f t="shared" si="300"/>
        <v>0</v>
      </c>
      <c r="Q334">
        <f t="shared" si="301"/>
        <v>0</v>
      </c>
      <c r="S334">
        <f t="shared" si="302"/>
        <v>0</v>
      </c>
    </row>
    <row r="335" spans="2:19">
      <c r="B335">
        <f t="shared" si="303"/>
        <v>4194304</v>
      </c>
      <c r="D335">
        <f t="shared" si="291"/>
        <v>715827882.66666663</v>
      </c>
      <c r="E335" s="1">
        <f t="shared" si="292"/>
        <v>1</v>
      </c>
      <c r="F335">
        <f t="shared" si="293"/>
        <v>3.8137659430503845E-7</v>
      </c>
      <c r="G335">
        <f t="shared" si="289"/>
        <v>43980465111040</v>
      </c>
      <c r="H335">
        <f t="shared" si="284"/>
        <v>4398046511104</v>
      </c>
      <c r="I335">
        <f t="shared" si="288"/>
        <v>10737418240</v>
      </c>
      <c r="J335">
        <f t="shared" si="295"/>
        <v>4.503599627370496E+16</v>
      </c>
      <c r="K335">
        <f t="shared" si="296"/>
        <v>1024</v>
      </c>
      <c r="L335" s="1">
        <f t="shared" si="297"/>
        <v>0</v>
      </c>
      <c r="M335" s="1">
        <f t="shared" si="298"/>
        <v>9.999999999997726E-2</v>
      </c>
      <c r="N335">
        <f t="shared" si="299"/>
        <v>10737418240</v>
      </c>
      <c r="O335">
        <f t="shared" si="286"/>
        <v>4398046511104</v>
      </c>
      <c r="P335">
        <f t="shared" si="300"/>
        <v>0</v>
      </c>
      <c r="Q335">
        <f t="shared" si="301"/>
        <v>0</v>
      </c>
      <c r="S335">
        <f t="shared" si="302"/>
        <v>0</v>
      </c>
    </row>
    <row r="336" spans="2:19">
      <c r="B336">
        <f t="shared" si="303"/>
        <v>4194304</v>
      </c>
      <c r="D336">
        <f t="shared" si="291"/>
        <v>787410670.93333328</v>
      </c>
      <c r="E336" s="1">
        <f t="shared" si="292"/>
        <v>1</v>
      </c>
      <c r="F336">
        <f t="shared" si="293"/>
        <v>3.4670599482276221E-7</v>
      </c>
      <c r="G336">
        <f t="shared" si="289"/>
        <v>48378511622144</v>
      </c>
      <c r="H336">
        <f t="shared" si="284"/>
        <v>4398046511104</v>
      </c>
      <c r="I336">
        <f t="shared" si="288"/>
        <v>11811160064</v>
      </c>
      <c r="J336">
        <f t="shared" si="295"/>
        <v>4.9539595901075456E+16</v>
      </c>
      <c r="K336">
        <f t="shared" si="296"/>
        <v>1024</v>
      </c>
      <c r="L336" s="1">
        <f t="shared" si="297"/>
        <v>0</v>
      </c>
      <c r="M336" s="1">
        <f t="shared" si="298"/>
        <v>9.0909090909070234E-2</v>
      </c>
      <c r="N336">
        <f t="shared" si="299"/>
        <v>11811160064</v>
      </c>
      <c r="O336">
        <f t="shared" si="286"/>
        <v>2199023255552</v>
      </c>
      <c r="P336">
        <f t="shared" si="300"/>
        <v>0</v>
      </c>
      <c r="Q336">
        <f t="shared" si="301"/>
        <v>0</v>
      </c>
      <c r="S336">
        <f t="shared" si="302"/>
        <v>0</v>
      </c>
    </row>
    <row r="337" spans="2:19">
      <c r="B337">
        <f t="shared" si="303"/>
        <v>4194304</v>
      </c>
      <c r="D337">
        <f t="shared" si="291"/>
        <v>858993459.20000005</v>
      </c>
      <c r="E337" s="1">
        <f t="shared" si="292"/>
        <v>1</v>
      </c>
      <c r="F337">
        <f t="shared" si="293"/>
        <v>3.1781382858753204E-7</v>
      </c>
      <c r="G337">
        <f t="shared" si="289"/>
        <v>52776558133248</v>
      </c>
      <c r="H337">
        <f t="shared" si="284"/>
        <v>4398046511104</v>
      </c>
      <c r="I337">
        <f t="shared" si="288"/>
        <v>12884901888</v>
      </c>
      <c r="J337">
        <f t="shared" si="295"/>
        <v>5.4043195528445952E+16</v>
      </c>
      <c r="K337">
        <f t="shared" si="296"/>
        <v>1024</v>
      </c>
      <c r="L337" s="1">
        <f t="shared" si="297"/>
        <v>0</v>
      </c>
      <c r="M337" s="1">
        <f t="shared" si="298"/>
        <v>8.3333333333314386E-2</v>
      </c>
      <c r="N337">
        <f t="shared" si="299"/>
        <v>12884901888</v>
      </c>
      <c r="O337">
        <f t="shared" si="286"/>
        <v>8796093022208</v>
      </c>
      <c r="P337">
        <f t="shared" si="300"/>
        <v>0</v>
      </c>
      <c r="Q337">
        <f t="shared" si="301"/>
        <v>0</v>
      </c>
      <c r="S337">
        <f t="shared" si="302"/>
        <v>0</v>
      </c>
    </row>
    <row r="338" spans="2:19">
      <c r="B338">
        <f t="shared" si="303"/>
        <v>4194304</v>
      </c>
      <c r="D338">
        <f t="shared" si="291"/>
        <v>930576247.4666667</v>
      </c>
      <c r="E338" s="1">
        <f t="shared" si="292"/>
        <v>1</v>
      </c>
      <c r="F338">
        <f t="shared" si="293"/>
        <v>2.9336661100387573E-7</v>
      </c>
      <c r="G338">
        <f t="shared" si="289"/>
        <v>57174604644352</v>
      </c>
      <c r="H338">
        <f t="shared" si="284"/>
        <v>4398046511104</v>
      </c>
      <c r="I338">
        <f t="shared" si="288"/>
        <v>13958643712</v>
      </c>
      <c r="J338">
        <f t="shared" si="295"/>
        <v>5.8546795155816448E+16</v>
      </c>
      <c r="K338">
        <f t="shared" si="296"/>
        <v>1024</v>
      </c>
      <c r="L338" s="1">
        <f t="shared" si="297"/>
        <v>0</v>
      </c>
      <c r="M338" s="1">
        <f t="shared" si="298"/>
        <v>7.6923076923059427E-2</v>
      </c>
      <c r="N338">
        <f t="shared" si="299"/>
        <v>13958643712</v>
      </c>
      <c r="O338">
        <f t="shared" si="286"/>
        <v>2199023255552</v>
      </c>
      <c r="P338">
        <f t="shared" si="300"/>
        <v>0</v>
      </c>
      <c r="Q338">
        <f t="shared" si="301"/>
        <v>0</v>
      </c>
      <c r="S338">
        <f t="shared" si="302"/>
        <v>0</v>
      </c>
    </row>
    <row r="339" spans="2:19">
      <c r="B339">
        <f t="shared" si="303"/>
        <v>4194304</v>
      </c>
      <c r="D339">
        <f t="shared" si="291"/>
        <v>1002159035.7333333</v>
      </c>
      <c r="E339" s="1">
        <f t="shared" si="292"/>
        <v>1</v>
      </c>
      <c r="F339">
        <f t="shared" si="293"/>
        <v>2.7241185307502747E-7</v>
      </c>
      <c r="G339">
        <f t="shared" si="289"/>
        <v>61572651155456</v>
      </c>
      <c r="H339">
        <f t="shared" si="284"/>
        <v>4398046511104</v>
      </c>
      <c r="I339">
        <f t="shared" si="288"/>
        <v>15032385536</v>
      </c>
      <c r="J339">
        <f t="shared" si="295"/>
        <v>6.3050394783186944E+16</v>
      </c>
      <c r="K339">
        <f t="shared" si="296"/>
        <v>1024</v>
      </c>
      <c r="L339" s="1">
        <f t="shared" si="297"/>
        <v>0</v>
      </c>
      <c r="M339" s="1">
        <f t="shared" si="298"/>
        <v>7.1428571428555188E-2</v>
      </c>
      <c r="N339">
        <f t="shared" si="299"/>
        <v>15032385536</v>
      </c>
      <c r="O339">
        <f t="shared" si="286"/>
        <v>4398046511104</v>
      </c>
      <c r="P339">
        <f t="shared" si="300"/>
        <v>0</v>
      </c>
      <c r="Q339">
        <f t="shared" si="301"/>
        <v>0</v>
      </c>
      <c r="S339">
        <f t="shared" si="302"/>
        <v>0</v>
      </c>
    </row>
    <row r="340" spans="2:19">
      <c r="B340">
        <f t="shared" si="303"/>
        <v>4194304</v>
      </c>
      <c r="D340">
        <f t="shared" si="291"/>
        <v>1073741824</v>
      </c>
      <c r="E340" s="1">
        <f t="shared" si="292"/>
        <v>1</v>
      </c>
      <c r="F340">
        <f t="shared" si="293"/>
        <v>2.5425106287002563E-7</v>
      </c>
      <c r="G340">
        <f t="shared" si="289"/>
        <v>65970697666560</v>
      </c>
      <c r="H340">
        <f t="shared" si="284"/>
        <v>4398046511104</v>
      </c>
      <c r="I340">
        <f t="shared" si="288"/>
        <v>16106127360</v>
      </c>
      <c r="J340">
        <f t="shared" si="295"/>
        <v>6.755399441055744E+16</v>
      </c>
      <c r="K340">
        <f t="shared" si="296"/>
        <v>1024</v>
      </c>
      <c r="L340" s="1">
        <f t="shared" si="297"/>
        <v>0</v>
      </c>
      <c r="M340" s="1">
        <f t="shared" si="298"/>
        <v>6.6666666666651511E-2</v>
      </c>
      <c r="N340">
        <f t="shared" si="299"/>
        <v>16106127360</v>
      </c>
      <c r="O340">
        <f t="shared" si="286"/>
        <v>2199023255552</v>
      </c>
      <c r="P340">
        <f t="shared" si="300"/>
        <v>0</v>
      </c>
      <c r="Q340">
        <f t="shared" si="301"/>
        <v>0</v>
      </c>
      <c r="S340">
        <f t="shared" si="302"/>
        <v>0</v>
      </c>
    </row>
    <row r="341" spans="2:19">
      <c r="B341">
        <f t="shared" si="303"/>
        <v>4194304</v>
      </c>
      <c r="D341">
        <f t="shared" si="291"/>
        <v>1145324612.2666667</v>
      </c>
      <c r="E341" s="1">
        <f t="shared" si="292"/>
        <v>1</v>
      </c>
      <c r="F341">
        <f t="shared" si="293"/>
        <v>2.3836037144064903E-7</v>
      </c>
      <c r="G341">
        <f t="shared" si="289"/>
        <v>70368744177664</v>
      </c>
      <c r="H341">
        <f t="shared" si="284"/>
        <v>4398046511104</v>
      </c>
      <c r="I341">
        <f t="shared" si="288"/>
        <v>17179869184</v>
      </c>
      <c r="J341">
        <f t="shared" si="295"/>
        <v>7.2057594037927936E+16</v>
      </c>
      <c r="K341">
        <f t="shared" si="296"/>
        <v>1024</v>
      </c>
      <c r="L341" s="1">
        <f t="shared" si="297"/>
        <v>0</v>
      </c>
      <c r="M341" s="1">
        <f t="shared" si="298"/>
        <v>6.2499999999985789E-2</v>
      </c>
      <c r="N341">
        <f t="shared" si="299"/>
        <v>17179869184</v>
      </c>
      <c r="O341">
        <f t="shared" si="286"/>
        <v>70368744177664</v>
      </c>
      <c r="P341">
        <f t="shared" si="300"/>
        <v>0</v>
      </c>
      <c r="Q341">
        <f t="shared" si="301"/>
        <v>0</v>
      </c>
      <c r="S341">
        <f t="shared" si="302"/>
        <v>0</v>
      </c>
    </row>
    <row r="342" spans="2:19">
      <c r="B342">
        <f t="shared" si="303"/>
        <v>4194304</v>
      </c>
      <c r="D342">
        <f t="shared" si="291"/>
        <v>1288490188.8</v>
      </c>
      <c r="E342" s="1">
        <f t="shared" si="292"/>
        <v>1</v>
      </c>
      <c r="F342">
        <f t="shared" si="293"/>
        <v>2.1187588572502136E-7</v>
      </c>
      <c r="G342">
        <f t="shared" si="289"/>
        <v>79164837199872</v>
      </c>
      <c r="H342">
        <f t="shared" ref="H342" si="306">H334*2</f>
        <v>8796093022208</v>
      </c>
      <c r="I342">
        <f t="shared" si="288"/>
        <v>19327352832</v>
      </c>
      <c r="J342">
        <f t="shared" si="295"/>
        <v>8.1064793292668928E+16</v>
      </c>
      <c r="K342">
        <f t="shared" si="296"/>
        <v>1024</v>
      </c>
      <c r="L342" s="1">
        <f t="shared" si="297"/>
        <v>0</v>
      </c>
      <c r="M342" s="1">
        <f t="shared" si="298"/>
        <v>0.11111111111109848</v>
      </c>
      <c r="N342">
        <f t="shared" si="299"/>
        <v>19327352832</v>
      </c>
      <c r="O342">
        <f t="shared" si="286"/>
        <v>4398046511104</v>
      </c>
      <c r="P342">
        <f t="shared" si="300"/>
        <v>0</v>
      </c>
      <c r="Q342">
        <f t="shared" si="301"/>
        <v>0</v>
      </c>
      <c r="S342">
        <f t="shared" si="302"/>
        <v>0</v>
      </c>
    </row>
    <row r="343" spans="2:19">
      <c r="B343">
        <f t="shared" si="303"/>
        <v>4194304</v>
      </c>
      <c r="D343">
        <f t="shared" si="291"/>
        <v>1431655765.3333333</v>
      </c>
      <c r="E343" s="1">
        <f t="shared" si="292"/>
        <v>1</v>
      </c>
      <c r="F343">
        <f t="shared" si="293"/>
        <v>1.9068829715251923E-7</v>
      </c>
      <c r="G343">
        <f t="shared" si="289"/>
        <v>87960930222080</v>
      </c>
      <c r="H343">
        <f t="shared" si="284"/>
        <v>8796093022208</v>
      </c>
      <c r="I343">
        <f t="shared" si="288"/>
        <v>21474836480</v>
      </c>
      <c r="J343">
        <f t="shared" si="295"/>
        <v>9.007199254740992E+16</v>
      </c>
      <c r="K343">
        <f t="shared" si="296"/>
        <v>1024</v>
      </c>
      <c r="L343" s="1">
        <f t="shared" si="297"/>
        <v>0</v>
      </c>
      <c r="M343" s="1">
        <f t="shared" si="298"/>
        <v>9.9999999999988626E-2</v>
      </c>
      <c r="N343">
        <f t="shared" si="299"/>
        <v>21474836480</v>
      </c>
      <c r="O343">
        <f t="shared" si="286"/>
        <v>8796093022208</v>
      </c>
      <c r="P343">
        <f t="shared" si="300"/>
        <v>0</v>
      </c>
      <c r="Q343">
        <f t="shared" si="301"/>
        <v>0</v>
      </c>
      <c r="S343">
        <f t="shared" si="302"/>
        <v>0</v>
      </c>
    </row>
    <row r="344" spans="2:19">
      <c r="B344">
        <f t="shared" si="303"/>
        <v>4194304</v>
      </c>
      <c r="D344">
        <f t="shared" si="291"/>
        <v>1574821341.8666666</v>
      </c>
      <c r="E344" s="1">
        <f t="shared" si="292"/>
        <v>1</v>
      </c>
      <c r="F344">
        <f t="shared" si="293"/>
        <v>1.733529974113811E-7</v>
      </c>
      <c r="G344">
        <f t="shared" si="289"/>
        <v>96757023244288</v>
      </c>
      <c r="H344">
        <f t="shared" si="284"/>
        <v>8796093022208</v>
      </c>
      <c r="I344">
        <f t="shared" si="288"/>
        <v>23622320128</v>
      </c>
      <c r="J344">
        <f t="shared" si="295"/>
        <v>9.9079191802150912E+16</v>
      </c>
      <c r="K344">
        <f t="shared" si="296"/>
        <v>1024</v>
      </c>
      <c r="L344" s="1">
        <f t="shared" si="297"/>
        <v>0</v>
      </c>
      <c r="M344" s="1">
        <f t="shared" si="298"/>
        <v>9.0909090909080573E-2</v>
      </c>
      <c r="N344">
        <f t="shared" si="299"/>
        <v>23622320128</v>
      </c>
      <c r="O344">
        <f t="shared" si="286"/>
        <v>4398046511104</v>
      </c>
      <c r="P344">
        <f t="shared" si="300"/>
        <v>0</v>
      </c>
      <c r="Q344">
        <f t="shared" si="301"/>
        <v>0</v>
      </c>
      <c r="S344">
        <f t="shared" si="302"/>
        <v>0</v>
      </c>
    </row>
    <row r="345" spans="2:19">
      <c r="B345">
        <f t="shared" si="303"/>
        <v>4194304</v>
      </c>
      <c r="D345">
        <f t="shared" si="291"/>
        <v>1717986918.4000001</v>
      </c>
      <c r="E345" s="1">
        <f t="shared" si="292"/>
        <v>1</v>
      </c>
      <c r="F345">
        <f t="shared" si="293"/>
        <v>1.5890691429376602E-7</v>
      </c>
      <c r="G345">
        <f t="shared" si="289"/>
        <v>105553116266496</v>
      </c>
      <c r="H345">
        <f t="shared" si="284"/>
        <v>8796093022208</v>
      </c>
      <c r="I345">
        <f t="shared" si="288"/>
        <v>25769803776</v>
      </c>
      <c r="J345">
        <f t="shared" si="295"/>
        <v>1.080863910568919E+17</v>
      </c>
      <c r="K345">
        <f t="shared" si="296"/>
        <v>1024</v>
      </c>
      <c r="L345" s="1">
        <f t="shared" si="297"/>
        <v>0</v>
      </c>
      <c r="M345" s="1">
        <f t="shared" si="298"/>
        <v>8.3333333333323864E-2</v>
      </c>
      <c r="N345">
        <f t="shared" si="299"/>
        <v>25769803776</v>
      </c>
      <c r="O345">
        <f t="shared" si="286"/>
        <v>17592186044416</v>
      </c>
      <c r="P345">
        <f t="shared" si="300"/>
        <v>0</v>
      </c>
      <c r="Q345">
        <f t="shared" si="301"/>
        <v>0</v>
      </c>
      <c r="S345">
        <f t="shared" si="302"/>
        <v>0</v>
      </c>
    </row>
    <row r="346" spans="2:19">
      <c r="B346">
        <f t="shared" si="303"/>
        <v>4194304</v>
      </c>
      <c r="D346">
        <f t="shared" si="291"/>
        <v>1861152494.9333334</v>
      </c>
      <c r="E346" s="1">
        <f t="shared" si="292"/>
        <v>1</v>
      </c>
      <c r="F346">
        <f t="shared" si="293"/>
        <v>1.4668330550193787E-7</v>
      </c>
      <c r="G346">
        <f t="shared" si="289"/>
        <v>114349209288704</v>
      </c>
      <c r="H346">
        <f t="shared" si="284"/>
        <v>8796093022208</v>
      </c>
      <c r="I346">
        <f t="shared" si="288"/>
        <v>27917287424</v>
      </c>
      <c r="J346">
        <f t="shared" si="295"/>
        <v>1.170935903116329E+17</v>
      </c>
      <c r="K346">
        <f t="shared" si="296"/>
        <v>1024</v>
      </c>
      <c r="L346" s="1">
        <f t="shared" si="297"/>
        <v>0</v>
      </c>
      <c r="M346" s="1">
        <f t="shared" si="298"/>
        <v>7.6923076923068184E-2</v>
      </c>
      <c r="N346">
        <f t="shared" si="299"/>
        <v>27917287424</v>
      </c>
      <c r="O346">
        <f t="shared" si="286"/>
        <v>4398046511104</v>
      </c>
      <c r="P346">
        <f t="shared" si="300"/>
        <v>0</v>
      </c>
      <c r="Q346">
        <f t="shared" si="301"/>
        <v>0</v>
      </c>
      <c r="S346">
        <f t="shared" si="302"/>
        <v>0</v>
      </c>
    </row>
    <row r="347" spans="2:19">
      <c r="B347">
        <f t="shared" si="303"/>
        <v>4194304</v>
      </c>
      <c r="D347">
        <f t="shared" si="291"/>
        <v>2004318071.4666667</v>
      </c>
      <c r="E347" s="1">
        <f t="shared" si="292"/>
        <v>1</v>
      </c>
      <c r="F347">
        <f t="shared" si="293"/>
        <v>1.3620592653751373E-7</v>
      </c>
      <c r="G347">
        <f t="shared" si="289"/>
        <v>123145302310912</v>
      </c>
      <c r="H347">
        <f t="shared" si="284"/>
        <v>8796093022208</v>
      </c>
      <c r="I347">
        <f t="shared" si="288"/>
        <v>30064771072</v>
      </c>
      <c r="J347">
        <f t="shared" si="295"/>
        <v>1.2610078956637389E+17</v>
      </c>
      <c r="K347">
        <f t="shared" si="296"/>
        <v>1024</v>
      </c>
      <c r="L347" s="1">
        <f t="shared" si="297"/>
        <v>0</v>
      </c>
      <c r="M347" s="1">
        <f t="shared" si="298"/>
        <v>7.1428571428563306E-2</v>
      </c>
      <c r="N347">
        <f t="shared" si="299"/>
        <v>30064771072</v>
      </c>
      <c r="O347">
        <f t="shared" si="286"/>
        <v>8796093022208</v>
      </c>
      <c r="P347">
        <f t="shared" si="300"/>
        <v>0</v>
      </c>
      <c r="Q347">
        <f t="shared" si="301"/>
        <v>0</v>
      </c>
      <c r="S347">
        <f t="shared" si="302"/>
        <v>0</v>
      </c>
    </row>
    <row r="348" spans="2:19">
      <c r="B348">
        <f t="shared" si="303"/>
        <v>4194304</v>
      </c>
      <c r="D348">
        <f t="shared" si="291"/>
        <v>2147483648</v>
      </c>
      <c r="E348" s="1">
        <f t="shared" si="292"/>
        <v>1</v>
      </c>
      <c r="F348">
        <f t="shared" si="293"/>
        <v>1.2712553143501282E-7</v>
      </c>
      <c r="G348">
        <f t="shared" si="289"/>
        <v>131941395333120</v>
      </c>
      <c r="H348">
        <f t="shared" si="284"/>
        <v>8796093022208</v>
      </c>
      <c r="I348">
        <f t="shared" si="288"/>
        <v>32212254720</v>
      </c>
      <c r="J348">
        <f t="shared" si="295"/>
        <v>1.3510798882111488E+17</v>
      </c>
      <c r="K348">
        <f t="shared" si="296"/>
        <v>1024</v>
      </c>
      <c r="L348" s="1">
        <f t="shared" si="297"/>
        <v>0</v>
      </c>
      <c r="M348" s="1">
        <f t="shared" si="298"/>
        <v>6.6666666666659088E-2</v>
      </c>
      <c r="N348">
        <f t="shared" si="299"/>
        <v>32212254720</v>
      </c>
      <c r="O348">
        <f t="shared" si="286"/>
        <v>4398046511104</v>
      </c>
      <c r="P348">
        <f t="shared" si="300"/>
        <v>0</v>
      </c>
      <c r="Q348">
        <f t="shared" si="301"/>
        <v>0</v>
      </c>
      <c r="S348">
        <f t="shared" si="302"/>
        <v>0</v>
      </c>
    </row>
    <row r="349" spans="2:19">
      <c r="B349">
        <f t="shared" si="303"/>
        <v>4194304</v>
      </c>
      <c r="D349">
        <f t="shared" si="291"/>
        <v>2290649224.5333333</v>
      </c>
      <c r="E349" s="1">
        <f t="shared" si="292"/>
        <v>1</v>
      </c>
      <c r="F349">
        <f t="shared" si="293"/>
        <v>1.1918018572032452E-7</v>
      </c>
      <c r="G349">
        <f t="shared" si="289"/>
        <v>140737488355328</v>
      </c>
      <c r="H349">
        <f t="shared" si="284"/>
        <v>8796093022208</v>
      </c>
      <c r="I349">
        <f t="shared" si="288"/>
        <v>34359738368</v>
      </c>
      <c r="J349">
        <f t="shared" si="295"/>
        <v>1.4411518807585587E+17</v>
      </c>
      <c r="K349">
        <f t="shared" si="296"/>
        <v>1024</v>
      </c>
      <c r="L349" s="1">
        <f t="shared" si="297"/>
        <v>0</v>
      </c>
      <c r="M349" s="1">
        <f t="shared" si="298"/>
        <v>6.2499999999992895E-2</v>
      </c>
      <c r="N349">
        <f t="shared" si="299"/>
        <v>34359738368</v>
      </c>
      <c r="O349">
        <f t="shared" si="286"/>
        <v>140737488355328</v>
      </c>
      <c r="P349">
        <f t="shared" si="300"/>
        <v>0</v>
      </c>
      <c r="Q349">
        <f t="shared" si="301"/>
        <v>0</v>
      </c>
      <c r="S349">
        <f t="shared" si="302"/>
        <v>0</v>
      </c>
    </row>
    <row r="350" spans="2:19">
      <c r="B350">
        <f t="shared" si="303"/>
        <v>4194304</v>
      </c>
      <c r="D350">
        <f t="shared" si="291"/>
        <v>2576980377.5999999</v>
      </c>
      <c r="E350" s="1">
        <f t="shared" si="292"/>
        <v>1</v>
      </c>
      <c r="F350">
        <f t="shared" si="293"/>
        <v>1.0593794286251068E-7</v>
      </c>
      <c r="G350">
        <f t="shared" si="289"/>
        <v>158329674399744</v>
      </c>
      <c r="H350">
        <f t="shared" ref="H350" si="307">H342*2</f>
        <v>17592186044416</v>
      </c>
      <c r="I350">
        <f t="shared" si="288"/>
        <v>38654705664</v>
      </c>
      <c r="J350">
        <f t="shared" si="295"/>
        <v>1.6212958658533786E+17</v>
      </c>
      <c r="K350">
        <f t="shared" si="296"/>
        <v>1024</v>
      </c>
      <c r="L350" s="1">
        <f t="shared" si="297"/>
        <v>0</v>
      </c>
      <c r="M350" s="1">
        <f t="shared" si="298"/>
        <v>0.11111111111110479</v>
      </c>
      <c r="N350">
        <f t="shared" si="299"/>
        <v>38654705664</v>
      </c>
      <c r="O350">
        <f t="shared" si="286"/>
        <v>8796093022208</v>
      </c>
      <c r="P350">
        <f t="shared" si="300"/>
        <v>0</v>
      </c>
      <c r="Q350">
        <f t="shared" si="301"/>
        <v>0</v>
      </c>
      <c r="S350">
        <f t="shared" si="302"/>
        <v>0</v>
      </c>
    </row>
    <row r="351" spans="2:19">
      <c r="B351">
        <f t="shared" si="303"/>
        <v>4194304</v>
      </c>
      <c r="D351">
        <f t="shared" si="291"/>
        <v>2863311530.6666665</v>
      </c>
      <c r="E351" s="1">
        <f t="shared" si="292"/>
        <v>1</v>
      </c>
      <c r="F351">
        <f t="shared" si="293"/>
        <v>9.5344148576259613E-8</v>
      </c>
      <c r="G351">
        <f t="shared" si="289"/>
        <v>175921860444160</v>
      </c>
      <c r="H351">
        <f t="shared" ref="H351:H413" si="308">H350</f>
        <v>17592186044416</v>
      </c>
      <c r="I351">
        <f t="shared" si="288"/>
        <v>42949672960</v>
      </c>
      <c r="J351">
        <f t="shared" si="295"/>
        <v>1.8014398509481984E+17</v>
      </c>
      <c r="K351">
        <f t="shared" si="296"/>
        <v>1024</v>
      </c>
      <c r="L351" s="1">
        <f t="shared" si="297"/>
        <v>0</v>
      </c>
      <c r="M351" s="1">
        <f t="shared" si="298"/>
        <v>9.9999999999994316E-2</v>
      </c>
      <c r="N351">
        <f t="shared" si="299"/>
        <v>42949672960</v>
      </c>
      <c r="O351">
        <f t="shared" si="286"/>
        <v>17592186044416</v>
      </c>
      <c r="P351">
        <f t="shared" si="300"/>
        <v>0</v>
      </c>
      <c r="Q351">
        <f t="shared" si="301"/>
        <v>0</v>
      </c>
      <c r="S351">
        <f t="shared" si="302"/>
        <v>0</v>
      </c>
    </row>
    <row r="352" spans="2:19">
      <c r="B352">
        <f t="shared" si="303"/>
        <v>4194304</v>
      </c>
      <c r="D352">
        <f t="shared" si="291"/>
        <v>3149642683.7333331</v>
      </c>
      <c r="E352" s="1">
        <f t="shared" si="292"/>
        <v>1</v>
      </c>
      <c r="F352">
        <f t="shared" si="293"/>
        <v>8.6676498705690552E-8</v>
      </c>
      <c r="G352">
        <f t="shared" si="289"/>
        <v>193514046488576</v>
      </c>
      <c r="H352">
        <f t="shared" si="308"/>
        <v>17592186044416</v>
      </c>
      <c r="I352">
        <f t="shared" si="288"/>
        <v>47244640256</v>
      </c>
      <c r="J352">
        <f t="shared" si="295"/>
        <v>1.9815838360430182E+17</v>
      </c>
      <c r="K352">
        <f t="shared" si="296"/>
        <v>1024</v>
      </c>
      <c r="L352" s="1">
        <f t="shared" si="297"/>
        <v>0</v>
      </c>
      <c r="M352" s="1">
        <f t="shared" si="298"/>
        <v>9.0909090909085735E-2</v>
      </c>
      <c r="N352">
        <f t="shared" si="299"/>
        <v>47244640256</v>
      </c>
      <c r="O352">
        <f t="shared" si="286"/>
        <v>8796093022208</v>
      </c>
      <c r="P352">
        <f t="shared" si="300"/>
        <v>0</v>
      </c>
      <c r="Q352">
        <f t="shared" si="301"/>
        <v>0</v>
      </c>
      <c r="S352">
        <f t="shared" si="302"/>
        <v>0</v>
      </c>
    </row>
    <row r="353" spans="2:19">
      <c r="B353">
        <f t="shared" si="303"/>
        <v>4194304</v>
      </c>
      <c r="D353">
        <f t="shared" si="291"/>
        <v>3435973836.8000002</v>
      </c>
      <c r="E353" s="1">
        <f t="shared" si="292"/>
        <v>1</v>
      </c>
      <c r="F353">
        <f t="shared" si="293"/>
        <v>7.9453457146883011E-8</v>
      </c>
      <c r="G353">
        <f t="shared" si="289"/>
        <v>211106232532992</v>
      </c>
      <c r="H353">
        <f t="shared" si="308"/>
        <v>17592186044416</v>
      </c>
      <c r="I353">
        <f t="shared" si="288"/>
        <v>51539607552</v>
      </c>
      <c r="J353">
        <f t="shared" si="295"/>
        <v>2.1617278211378381E+17</v>
      </c>
      <c r="K353">
        <f t="shared" si="296"/>
        <v>1024</v>
      </c>
      <c r="L353" s="1">
        <f t="shared" si="297"/>
        <v>0</v>
      </c>
      <c r="M353" s="1">
        <f t="shared" si="298"/>
        <v>8.3333333333328596E-2</v>
      </c>
      <c r="N353">
        <f t="shared" si="299"/>
        <v>51539607552</v>
      </c>
      <c r="O353">
        <f t="shared" si="286"/>
        <v>35184372088832</v>
      </c>
      <c r="P353">
        <f t="shared" si="300"/>
        <v>0</v>
      </c>
      <c r="Q353">
        <f t="shared" si="301"/>
        <v>0</v>
      </c>
      <c r="S353">
        <f t="shared" si="302"/>
        <v>0</v>
      </c>
    </row>
    <row r="354" spans="2:19">
      <c r="B354">
        <f t="shared" si="303"/>
        <v>4194304</v>
      </c>
      <c r="D354">
        <f t="shared" si="291"/>
        <v>3722304989.8666668</v>
      </c>
      <c r="E354" s="1">
        <f t="shared" si="292"/>
        <v>1</v>
      </c>
      <c r="F354">
        <f t="shared" si="293"/>
        <v>7.3341652750968933E-8</v>
      </c>
      <c r="G354">
        <f t="shared" si="289"/>
        <v>228698418577408</v>
      </c>
      <c r="H354">
        <f t="shared" si="308"/>
        <v>17592186044416</v>
      </c>
      <c r="I354">
        <f t="shared" si="288"/>
        <v>55834574848</v>
      </c>
      <c r="J354">
        <f t="shared" si="295"/>
        <v>2.3418718062326579E+17</v>
      </c>
      <c r="K354">
        <f t="shared" si="296"/>
        <v>1024</v>
      </c>
      <c r="L354" s="1">
        <f t="shared" si="297"/>
        <v>0</v>
      </c>
      <c r="M354" s="1">
        <f t="shared" si="298"/>
        <v>7.6923076923072556E-2</v>
      </c>
      <c r="N354">
        <f t="shared" si="299"/>
        <v>55834574848</v>
      </c>
      <c r="O354">
        <f t="shared" si="286"/>
        <v>8796093022208</v>
      </c>
      <c r="P354">
        <f t="shared" si="300"/>
        <v>0</v>
      </c>
      <c r="Q354">
        <f t="shared" si="301"/>
        <v>0</v>
      </c>
      <c r="S354">
        <f t="shared" si="302"/>
        <v>0</v>
      </c>
    </row>
    <row r="355" spans="2:19">
      <c r="B355">
        <f t="shared" si="303"/>
        <v>4194304</v>
      </c>
      <c r="D355">
        <f t="shared" si="291"/>
        <v>4008636142.9333334</v>
      </c>
      <c r="E355" s="1">
        <f t="shared" si="292"/>
        <v>1</v>
      </c>
      <c r="F355">
        <f t="shared" si="293"/>
        <v>6.8102963268756866E-8</v>
      </c>
      <c r="G355">
        <f t="shared" si="289"/>
        <v>246290604621824</v>
      </c>
      <c r="H355">
        <f t="shared" si="308"/>
        <v>17592186044416</v>
      </c>
      <c r="I355">
        <f t="shared" si="288"/>
        <v>60129542144</v>
      </c>
      <c r="J355">
        <f t="shared" si="295"/>
        <v>2.5220157913274778E+17</v>
      </c>
      <c r="K355">
        <f t="shared" si="296"/>
        <v>1024</v>
      </c>
      <c r="L355" s="1">
        <f t="shared" si="297"/>
        <v>0</v>
      </c>
      <c r="M355" s="1">
        <f t="shared" si="298"/>
        <v>7.1428571428567372E-2</v>
      </c>
      <c r="N355">
        <f t="shared" si="299"/>
        <v>60129542144</v>
      </c>
      <c r="O355">
        <f t="shared" si="286"/>
        <v>17592186044416</v>
      </c>
      <c r="P355">
        <f t="shared" si="300"/>
        <v>0</v>
      </c>
      <c r="Q355">
        <f t="shared" si="301"/>
        <v>0</v>
      </c>
      <c r="S355">
        <f t="shared" si="302"/>
        <v>0</v>
      </c>
    </row>
    <row r="356" spans="2:19">
      <c r="B356">
        <f t="shared" si="303"/>
        <v>4194304</v>
      </c>
      <c r="D356">
        <f t="shared" si="291"/>
        <v>4294967296</v>
      </c>
      <c r="E356" s="1">
        <f t="shared" si="292"/>
        <v>1</v>
      </c>
      <c r="F356">
        <f t="shared" si="293"/>
        <v>6.3562765717506409E-8</v>
      </c>
      <c r="G356">
        <f t="shared" si="289"/>
        <v>263882790666240</v>
      </c>
      <c r="H356">
        <f t="shared" si="308"/>
        <v>17592186044416</v>
      </c>
      <c r="I356">
        <f t="shared" si="288"/>
        <v>64424509440</v>
      </c>
      <c r="J356">
        <f t="shared" si="295"/>
        <v>2.7021597764222976E+17</v>
      </c>
      <c r="K356">
        <f t="shared" si="296"/>
        <v>1024</v>
      </c>
      <c r="L356" s="1">
        <f t="shared" si="297"/>
        <v>0</v>
      </c>
      <c r="M356" s="1">
        <f t="shared" si="298"/>
        <v>6.6666666666662877E-2</v>
      </c>
      <c r="N356">
        <f t="shared" si="299"/>
        <v>64424509440</v>
      </c>
      <c r="O356">
        <f t="shared" si="286"/>
        <v>8796093022208</v>
      </c>
      <c r="P356">
        <f t="shared" si="300"/>
        <v>0</v>
      </c>
      <c r="Q356">
        <f t="shared" si="301"/>
        <v>0</v>
      </c>
      <c r="S356">
        <f t="shared" si="302"/>
        <v>0</v>
      </c>
    </row>
    <row r="357" spans="2:19">
      <c r="B357">
        <f t="shared" si="303"/>
        <v>4194304</v>
      </c>
      <c r="D357">
        <f t="shared" si="291"/>
        <v>4581298449.0666666</v>
      </c>
      <c r="E357" s="1">
        <f t="shared" si="292"/>
        <v>1</v>
      </c>
      <c r="F357">
        <f t="shared" si="293"/>
        <v>5.9590092860162258E-8</v>
      </c>
      <c r="G357">
        <f t="shared" si="289"/>
        <v>281474976710656</v>
      </c>
      <c r="H357">
        <f t="shared" si="308"/>
        <v>17592186044416</v>
      </c>
      <c r="I357">
        <f t="shared" si="288"/>
        <v>68719476736</v>
      </c>
      <c r="J357">
        <f t="shared" si="295"/>
        <v>2.8823037615171174E+17</v>
      </c>
      <c r="K357">
        <f t="shared" si="296"/>
        <v>1024</v>
      </c>
      <c r="L357" s="1">
        <f t="shared" si="297"/>
        <v>0</v>
      </c>
      <c r="M357" s="1">
        <f t="shared" si="298"/>
        <v>6.2499999999996447E-2</v>
      </c>
      <c r="N357">
        <f t="shared" si="299"/>
        <v>68719476736</v>
      </c>
      <c r="O357">
        <f t="shared" si="286"/>
        <v>281474976710656</v>
      </c>
      <c r="P357">
        <f t="shared" si="300"/>
        <v>0</v>
      </c>
      <c r="Q357">
        <f t="shared" si="301"/>
        <v>0</v>
      </c>
      <c r="S357">
        <f t="shared" si="302"/>
        <v>0</v>
      </c>
    </row>
    <row r="358" spans="2:19">
      <c r="B358">
        <f t="shared" si="303"/>
        <v>4194304</v>
      </c>
      <c r="D358">
        <f t="shared" si="291"/>
        <v>5153960755.1999998</v>
      </c>
      <c r="E358" s="1">
        <f t="shared" si="292"/>
        <v>1</v>
      </c>
      <c r="F358">
        <f t="shared" si="293"/>
        <v>5.2968971431255341E-8</v>
      </c>
      <c r="G358">
        <f t="shared" si="289"/>
        <v>316659348799488</v>
      </c>
      <c r="H358">
        <f t="shared" ref="H358" si="309">H350*2</f>
        <v>35184372088832</v>
      </c>
      <c r="I358">
        <f t="shared" si="288"/>
        <v>77309411328</v>
      </c>
      <c r="J358">
        <f t="shared" si="295"/>
        <v>3.2425917317067571E+17</v>
      </c>
      <c r="K358">
        <f t="shared" si="296"/>
        <v>1024</v>
      </c>
      <c r="L358" s="1">
        <f t="shared" si="297"/>
        <v>0</v>
      </c>
      <c r="M358" s="1">
        <f t="shared" si="298"/>
        <v>0.11111111111110795</v>
      </c>
      <c r="N358">
        <f t="shared" si="299"/>
        <v>77309411328</v>
      </c>
      <c r="O358">
        <f t="shared" ref="O358:O421" si="310">O350*2</f>
        <v>17592186044416</v>
      </c>
      <c r="P358">
        <f t="shared" si="300"/>
        <v>0</v>
      </c>
      <c r="Q358">
        <f t="shared" si="301"/>
        <v>0</v>
      </c>
      <c r="S358">
        <f t="shared" si="302"/>
        <v>0</v>
      </c>
    </row>
    <row r="359" spans="2:19">
      <c r="B359">
        <f t="shared" si="303"/>
        <v>4194304</v>
      </c>
      <c r="D359">
        <f t="shared" si="291"/>
        <v>5726623061.333333</v>
      </c>
      <c r="E359" s="1">
        <f t="shared" si="292"/>
        <v>1</v>
      </c>
      <c r="F359">
        <f t="shared" si="293"/>
        <v>4.7672074288129807E-8</v>
      </c>
      <c r="G359">
        <f t="shared" si="289"/>
        <v>351843720888320</v>
      </c>
      <c r="H359">
        <f t="shared" si="308"/>
        <v>35184372088832</v>
      </c>
      <c r="I359">
        <f t="shared" si="288"/>
        <v>85899345920</v>
      </c>
      <c r="J359">
        <f t="shared" si="295"/>
        <v>3.6028797018963968E+17</v>
      </c>
      <c r="K359">
        <f t="shared" si="296"/>
        <v>1024</v>
      </c>
      <c r="L359" s="1">
        <f t="shared" si="297"/>
        <v>0</v>
      </c>
      <c r="M359" s="1">
        <f t="shared" si="298"/>
        <v>9.9999999999997161E-2</v>
      </c>
      <c r="N359">
        <f t="shared" si="299"/>
        <v>85899345920</v>
      </c>
      <c r="O359">
        <f t="shared" si="310"/>
        <v>35184372088832</v>
      </c>
      <c r="P359">
        <f t="shared" si="300"/>
        <v>0</v>
      </c>
      <c r="Q359">
        <f t="shared" si="301"/>
        <v>0</v>
      </c>
      <c r="S359">
        <f t="shared" si="302"/>
        <v>0</v>
      </c>
    </row>
    <row r="360" spans="2:19">
      <c r="B360">
        <f t="shared" si="303"/>
        <v>4194304</v>
      </c>
      <c r="D360">
        <f t="shared" si="291"/>
        <v>6299285367.4666662</v>
      </c>
      <c r="E360" s="1">
        <f t="shared" si="292"/>
        <v>1</v>
      </c>
      <c r="F360">
        <f t="shared" si="293"/>
        <v>4.3338249352845276E-8</v>
      </c>
      <c r="G360">
        <f t="shared" si="289"/>
        <v>387028092977152</v>
      </c>
      <c r="H360">
        <f t="shared" si="308"/>
        <v>35184372088832</v>
      </c>
      <c r="I360">
        <f t="shared" si="288"/>
        <v>94489280512</v>
      </c>
      <c r="J360">
        <f t="shared" si="295"/>
        <v>3.9631676720860365E+17</v>
      </c>
      <c r="K360">
        <f t="shared" si="296"/>
        <v>1024</v>
      </c>
      <c r="L360" s="1">
        <f t="shared" si="297"/>
        <v>0</v>
      </c>
      <c r="M360" s="1">
        <f t="shared" si="298"/>
        <v>9.090909090908833E-2</v>
      </c>
      <c r="N360">
        <f t="shared" si="299"/>
        <v>94489280512</v>
      </c>
      <c r="O360">
        <f t="shared" si="310"/>
        <v>17592186044416</v>
      </c>
      <c r="P360">
        <f t="shared" si="300"/>
        <v>0</v>
      </c>
      <c r="Q360">
        <f t="shared" si="301"/>
        <v>0</v>
      </c>
      <c r="S360">
        <f t="shared" si="302"/>
        <v>0</v>
      </c>
    </row>
    <row r="361" spans="2:19">
      <c r="B361">
        <f t="shared" si="303"/>
        <v>4194304</v>
      </c>
      <c r="D361">
        <f t="shared" si="291"/>
        <v>6871947673.6000004</v>
      </c>
      <c r="E361" s="1">
        <f t="shared" si="292"/>
        <v>1</v>
      </c>
      <c r="F361">
        <f t="shared" si="293"/>
        <v>3.9726728573441505E-8</v>
      </c>
      <c r="G361">
        <f t="shared" si="289"/>
        <v>422212465065984</v>
      </c>
      <c r="H361">
        <f t="shared" si="308"/>
        <v>35184372088832</v>
      </c>
      <c r="I361">
        <f t="shared" si="288"/>
        <v>103079215104</v>
      </c>
      <c r="J361">
        <f t="shared" si="295"/>
        <v>4.3234556422756762E+17</v>
      </c>
      <c r="K361">
        <f t="shared" si="296"/>
        <v>1024</v>
      </c>
      <c r="L361" s="1">
        <f t="shared" si="297"/>
        <v>0</v>
      </c>
      <c r="M361" s="1">
        <f t="shared" si="298"/>
        <v>8.3333333333330969E-2</v>
      </c>
      <c r="N361">
        <f t="shared" si="299"/>
        <v>103079215104</v>
      </c>
      <c r="O361">
        <f t="shared" si="310"/>
        <v>70368744177664</v>
      </c>
      <c r="P361">
        <f t="shared" si="300"/>
        <v>0</v>
      </c>
      <c r="Q361">
        <f t="shared" si="301"/>
        <v>0</v>
      </c>
      <c r="S361">
        <f t="shared" si="302"/>
        <v>4194304</v>
      </c>
    </row>
    <row r="362" spans="2:19">
      <c r="B362">
        <f t="shared" si="303"/>
        <v>4194304</v>
      </c>
      <c r="D362">
        <f t="shared" si="291"/>
        <v>7444609979.7333336</v>
      </c>
      <c r="E362" s="1">
        <f t="shared" si="292"/>
        <v>1</v>
      </c>
      <c r="F362">
        <f t="shared" si="293"/>
        <v>3.6670826375484467E-8</v>
      </c>
      <c r="G362">
        <f t="shared" si="289"/>
        <v>457396837154816</v>
      </c>
      <c r="H362">
        <f t="shared" si="308"/>
        <v>35184372088832</v>
      </c>
      <c r="I362">
        <f t="shared" si="288"/>
        <v>111669149696</v>
      </c>
      <c r="J362">
        <f t="shared" si="295"/>
        <v>4.6837436124653158E+17</v>
      </c>
      <c r="K362">
        <f t="shared" si="296"/>
        <v>1024</v>
      </c>
      <c r="L362" s="1">
        <f t="shared" si="297"/>
        <v>0</v>
      </c>
      <c r="M362" s="1">
        <f t="shared" si="298"/>
        <v>7.6923076923074735E-2</v>
      </c>
      <c r="N362">
        <f t="shared" si="299"/>
        <v>111669149696</v>
      </c>
      <c r="O362">
        <f t="shared" si="310"/>
        <v>17592186044416</v>
      </c>
      <c r="P362">
        <f t="shared" si="300"/>
        <v>0</v>
      </c>
      <c r="Q362">
        <f t="shared" si="301"/>
        <v>0</v>
      </c>
      <c r="S362">
        <f t="shared" si="302"/>
        <v>4194304</v>
      </c>
    </row>
    <row r="363" spans="2:19">
      <c r="B363">
        <f t="shared" si="303"/>
        <v>4194304</v>
      </c>
      <c r="D363">
        <f t="shared" si="291"/>
        <v>8017272285.8666668</v>
      </c>
      <c r="E363" s="1">
        <f t="shared" si="292"/>
        <v>1</v>
      </c>
      <c r="F363">
        <f t="shared" si="293"/>
        <v>3.4051481634378433E-8</v>
      </c>
      <c r="G363">
        <f t="shared" si="289"/>
        <v>492581209243648</v>
      </c>
      <c r="H363">
        <f t="shared" si="308"/>
        <v>35184372088832</v>
      </c>
      <c r="I363">
        <f t="shared" si="288"/>
        <v>120259084288</v>
      </c>
      <c r="J363">
        <f t="shared" si="295"/>
        <v>5.0440315826549555E+17</v>
      </c>
      <c r="K363">
        <f t="shared" si="296"/>
        <v>1024</v>
      </c>
      <c r="L363" s="1">
        <f t="shared" si="297"/>
        <v>0</v>
      </c>
      <c r="M363" s="1">
        <f t="shared" si="298"/>
        <v>7.1428571428569398E-2</v>
      </c>
      <c r="N363">
        <f t="shared" si="299"/>
        <v>120259084288</v>
      </c>
      <c r="O363">
        <f t="shared" si="310"/>
        <v>35184372088832</v>
      </c>
      <c r="P363">
        <f t="shared" si="300"/>
        <v>0</v>
      </c>
      <c r="Q363">
        <f t="shared" si="301"/>
        <v>0</v>
      </c>
      <c r="S363">
        <f t="shared" si="302"/>
        <v>4194304</v>
      </c>
    </row>
    <row r="364" spans="2:19">
      <c r="B364">
        <f t="shared" si="303"/>
        <v>4194304</v>
      </c>
      <c r="D364">
        <f t="shared" si="291"/>
        <v>8589934592</v>
      </c>
      <c r="E364" s="1">
        <f t="shared" si="292"/>
        <v>1</v>
      </c>
      <c r="F364">
        <f t="shared" si="293"/>
        <v>3.1781382858753204E-8</v>
      </c>
      <c r="G364">
        <f t="shared" si="289"/>
        <v>527765581332480</v>
      </c>
      <c r="H364">
        <f t="shared" si="308"/>
        <v>35184372088832</v>
      </c>
      <c r="I364">
        <f t="shared" si="288"/>
        <v>128849018880</v>
      </c>
      <c r="J364">
        <f t="shared" si="295"/>
        <v>5.4043195528445952E+17</v>
      </c>
      <c r="K364">
        <f t="shared" si="296"/>
        <v>1024</v>
      </c>
      <c r="L364" s="1">
        <f t="shared" si="297"/>
        <v>0</v>
      </c>
      <c r="M364" s="1">
        <f t="shared" si="298"/>
        <v>6.6666666666664778E-2</v>
      </c>
      <c r="N364">
        <f t="shared" si="299"/>
        <v>128849018880</v>
      </c>
      <c r="O364">
        <f t="shared" si="310"/>
        <v>17592186044416</v>
      </c>
      <c r="P364">
        <f t="shared" si="300"/>
        <v>0</v>
      </c>
      <c r="Q364">
        <f t="shared" si="301"/>
        <v>0</v>
      </c>
      <c r="S364">
        <f t="shared" si="302"/>
        <v>4194304</v>
      </c>
    </row>
    <row r="365" spans="2:19">
      <c r="B365">
        <f t="shared" si="303"/>
        <v>4194304</v>
      </c>
      <c r="D365">
        <f t="shared" si="291"/>
        <v>9162596898.1333332</v>
      </c>
      <c r="E365" s="1">
        <f t="shared" si="292"/>
        <v>1</v>
      </c>
      <c r="F365">
        <f t="shared" si="293"/>
        <v>2.9795046430081129E-8</v>
      </c>
      <c r="G365">
        <f t="shared" si="289"/>
        <v>562949953421312</v>
      </c>
      <c r="H365">
        <f t="shared" si="308"/>
        <v>35184372088832</v>
      </c>
      <c r="I365">
        <f t="shared" si="288"/>
        <v>137438953472</v>
      </c>
      <c r="J365">
        <f t="shared" si="295"/>
        <v>5.7646075230342349E+17</v>
      </c>
      <c r="K365">
        <f t="shared" si="296"/>
        <v>1024</v>
      </c>
      <c r="L365" s="1">
        <f t="shared" si="297"/>
        <v>0</v>
      </c>
      <c r="M365" s="1">
        <f t="shared" si="298"/>
        <v>6.2499999999998224E-2</v>
      </c>
      <c r="N365">
        <f t="shared" si="299"/>
        <v>137438953472</v>
      </c>
      <c r="O365">
        <f t="shared" si="310"/>
        <v>562949953421312</v>
      </c>
      <c r="P365">
        <f t="shared" si="300"/>
        <v>0</v>
      </c>
      <c r="Q365">
        <f t="shared" si="301"/>
        <v>0</v>
      </c>
      <c r="S365">
        <f t="shared" si="302"/>
        <v>4194304</v>
      </c>
    </row>
    <row r="366" spans="2:19">
      <c r="B366">
        <f t="shared" si="303"/>
        <v>4194304</v>
      </c>
      <c r="D366">
        <f t="shared" si="291"/>
        <v>10307921510.4</v>
      </c>
      <c r="E366" s="1">
        <f t="shared" si="292"/>
        <v>1</v>
      </c>
      <c r="F366">
        <f t="shared" si="293"/>
        <v>2.648448571562767E-8</v>
      </c>
      <c r="G366">
        <f t="shared" si="289"/>
        <v>633318697598976</v>
      </c>
      <c r="H366">
        <f t="shared" ref="H366" si="311">H358*2</f>
        <v>70368744177664</v>
      </c>
      <c r="I366">
        <f t="shared" si="288"/>
        <v>154618822656</v>
      </c>
      <c r="J366">
        <f t="shared" si="295"/>
        <v>6.4851834634135142E+17</v>
      </c>
      <c r="K366">
        <f t="shared" si="296"/>
        <v>1024</v>
      </c>
      <c r="L366" s="1">
        <f t="shared" si="297"/>
        <v>0</v>
      </c>
      <c r="M366" s="1">
        <f t="shared" si="298"/>
        <v>0.11111111111110954</v>
      </c>
      <c r="N366">
        <f t="shared" si="299"/>
        <v>154618822656</v>
      </c>
      <c r="O366">
        <f t="shared" si="310"/>
        <v>35184372088832</v>
      </c>
      <c r="P366">
        <f t="shared" si="300"/>
        <v>0</v>
      </c>
      <c r="Q366">
        <f t="shared" si="301"/>
        <v>0</v>
      </c>
      <c r="S366">
        <f t="shared" si="302"/>
        <v>4194304</v>
      </c>
    </row>
    <row r="367" spans="2:19">
      <c r="B367">
        <f t="shared" si="303"/>
        <v>4194304</v>
      </c>
      <c r="D367">
        <f t="shared" si="291"/>
        <v>11453246122.666666</v>
      </c>
      <c r="E367" s="1">
        <f t="shared" si="292"/>
        <v>1</v>
      </c>
      <c r="F367">
        <f t="shared" si="293"/>
        <v>2.3836037144064903E-8</v>
      </c>
      <c r="G367">
        <f t="shared" si="289"/>
        <v>703687441776640</v>
      </c>
      <c r="H367">
        <f t="shared" si="308"/>
        <v>70368744177664</v>
      </c>
      <c r="I367">
        <f t="shared" ref="I367:I430" si="312">I359*2</f>
        <v>171798691840</v>
      </c>
      <c r="J367">
        <f t="shared" si="295"/>
        <v>7.2057594037927936E+17</v>
      </c>
      <c r="K367">
        <f t="shared" si="296"/>
        <v>1024</v>
      </c>
      <c r="L367" s="1">
        <f t="shared" si="297"/>
        <v>0</v>
      </c>
      <c r="M367" s="1">
        <f t="shared" si="298"/>
        <v>9.9999999999998576E-2</v>
      </c>
      <c r="N367">
        <f t="shared" si="299"/>
        <v>171798691840</v>
      </c>
      <c r="O367">
        <f t="shared" si="310"/>
        <v>70368744177664</v>
      </c>
      <c r="P367">
        <f t="shared" si="300"/>
        <v>0</v>
      </c>
      <c r="Q367">
        <f t="shared" si="301"/>
        <v>0</v>
      </c>
      <c r="S367">
        <f t="shared" si="302"/>
        <v>4194304</v>
      </c>
    </row>
    <row r="368" spans="2:19">
      <c r="B368">
        <f t="shared" si="303"/>
        <v>4194304</v>
      </c>
      <c r="D368">
        <f t="shared" si="291"/>
        <v>12598570734.933332</v>
      </c>
      <c r="E368" s="1">
        <f t="shared" si="292"/>
        <v>1</v>
      </c>
      <c r="F368">
        <f t="shared" si="293"/>
        <v>2.1669124676422638E-8</v>
      </c>
      <c r="G368">
        <f t="shared" si="289"/>
        <v>774056185954304</v>
      </c>
      <c r="H368">
        <f t="shared" si="308"/>
        <v>70368744177664</v>
      </c>
      <c r="I368">
        <f t="shared" si="312"/>
        <v>188978561024</v>
      </c>
      <c r="J368">
        <f t="shared" si="295"/>
        <v>7.926335344172073E+17</v>
      </c>
      <c r="K368">
        <f t="shared" si="296"/>
        <v>1024</v>
      </c>
      <c r="L368" s="1">
        <f t="shared" si="297"/>
        <v>0</v>
      </c>
      <c r="M368" s="1">
        <f t="shared" si="298"/>
        <v>9.0909090909089621E-2</v>
      </c>
      <c r="N368">
        <f t="shared" si="299"/>
        <v>188978561024</v>
      </c>
      <c r="O368">
        <f t="shared" si="310"/>
        <v>35184372088832</v>
      </c>
      <c r="P368">
        <f t="shared" si="300"/>
        <v>0</v>
      </c>
      <c r="Q368">
        <f t="shared" si="301"/>
        <v>0</v>
      </c>
      <c r="S368">
        <f t="shared" si="302"/>
        <v>4194304</v>
      </c>
    </row>
    <row r="369" spans="2:19">
      <c r="B369">
        <f t="shared" si="303"/>
        <v>4194304</v>
      </c>
      <c r="D369">
        <f t="shared" si="291"/>
        <v>13743895347.200001</v>
      </c>
      <c r="E369" s="1">
        <f t="shared" si="292"/>
        <v>1</v>
      </c>
      <c r="F369">
        <f t="shared" si="293"/>
        <v>1.9863364286720753E-8</v>
      </c>
      <c r="G369">
        <f t="shared" si="289"/>
        <v>844424930131968</v>
      </c>
      <c r="H369">
        <f t="shared" si="308"/>
        <v>70368744177664</v>
      </c>
      <c r="I369">
        <f t="shared" si="312"/>
        <v>206158430208</v>
      </c>
      <c r="J369">
        <f t="shared" si="295"/>
        <v>8.6469112845513523E+17</v>
      </c>
      <c r="K369">
        <f t="shared" si="296"/>
        <v>1024</v>
      </c>
      <c r="L369" s="1">
        <f t="shared" si="297"/>
        <v>0</v>
      </c>
      <c r="M369" s="1">
        <f t="shared" si="298"/>
        <v>8.3333333333332149E-2</v>
      </c>
      <c r="N369">
        <f t="shared" si="299"/>
        <v>206158430208</v>
      </c>
      <c r="O369">
        <f t="shared" si="310"/>
        <v>140737488355328</v>
      </c>
      <c r="P369">
        <f t="shared" si="300"/>
        <v>0</v>
      </c>
      <c r="Q369">
        <f t="shared" si="301"/>
        <v>0</v>
      </c>
      <c r="S369">
        <f t="shared" si="302"/>
        <v>4194304</v>
      </c>
    </row>
    <row r="370" spans="2:19">
      <c r="B370">
        <f t="shared" si="303"/>
        <v>4194304</v>
      </c>
      <c r="D370">
        <f t="shared" si="291"/>
        <v>14889219959.466667</v>
      </c>
      <c r="E370" s="1">
        <f t="shared" si="292"/>
        <v>1</v>
      </c>
      <c r="F370">
        <f t="shared" si="293"/>
        <v>1.8335413187742233E-8</v>
      </c>
      <c r="G370">
        <f t="shared" si="289"/>
        <v>914793674309632</v>
      </c>
      <c r="H370">
        <f t="shared" si="308"/>
        <v>70368744177664</v>
      </c>
      <c r="I370">
        <f t="shared" si="312"/>
        <v>223338299392</v>
      </c>
      <c r="J370">
        <f t="shared" si="295"/>
        <v>9.3674872249306317E+17</v>
      </c>
      <c r="K370">
        <f t="shared" si="296"/>
        <v>1024</v>
      </c>
      <c r="L370" s="1">
        <f t="shared" si="297"/>
        <v>0</v>
      </c>
      <c r="M370" s="1">
        <f t="shared" si="298"/>
        <v>7.6923076923075831E-2</v>
      </c>
      <c r="N370">
        <f t="shared" si="299"/>
        <v>223338299392</v>
      </c>
      <c r="O370">
        <f t="shared" si="310"/>
        <v>35184372088832</v>
      </c>
      <c r="P370">
        <f t="shared" si="300"/>
        <v>0</v>
      </c>
      <c r="Q370">
        <f t="shared" si="301"/>
        <v>0</v>
      </c>
      <c r="S370">
        <f t="shared" si="302"/>
        <v>4194304</v>
      </c>
    </row>
    <row r="371" spans="2:19">
      <c r="B371">
        <f t="shared" si="303"/>
        <v>4194304</v>
      </c>
      <c r="D371">
        <f t="shared" si="291"/>
        <v>16034544571.733334</v>
      </c>
      <c r="E371" s="1">
        <f t="shared" si="292"/>
        <v>1</v>
      </c>
      <c r="F371">
        <f t="shared" si="293"/>
        <v>1.7025740817189217E-8</v>
      </c>
      <c r="G371">
        <f t="shared" si="289"/>
        <v>985162418487296</v>
      </c>
      <c r="H371">
        <f t="shared" si="308"/>
        <v>70368744177664</v>
      </c>
      <c r="I371">
        <f t="shared" si="312"/>
        <v>240518168576</v>
      </c>
      <c r="J371">
        <f t="shared" si="295"/>
        <v>1.0088063165309911E+18</v>
      </c>
      <c r="K371">
        <f t="shared" si="296"/>
        <v>1024</v>
      </c>
      <c r="L371" s="1">
        <f t="shared" si="297"/>
        <v>0</v>
      </c>
      <c r="M371" s="1">
        <f t="shared" si="298"/>
        <v>7.1428571428570412E-2</v>
      </c>
      <c r="N371">
        <f t="shared" si="299"/>
        <v>240518168576</v>
      </c>
      <c r="O371">
        <f t="shared" si="310"/>
        <v>70368744177664</v>
      </c>
      <c r="P371">
        <f t="shared" si="300"/>
        <v>0</v>
      </c>
      <c r="Q371">
        <f t="shared" si="301"/>
        <v>0</v>
      </c>
      <c r="S371">
        <f t="shared" si="302"/>
        <v>4194304</v>
      </c>
    </row>
    <row r="372" spans="2:19">
      <c r="B372">
        <f t="shared" si="303"/>
        <v>4194304</v>
      </c>
      <c r="D372">
        <f t="shared" si="291"/>
        <v>17179869184</v>
      </c>
      <c r="E372" s="1">
        <f t="shared" si="292"/>
        <v>1</v>
      </c>
      <c r="F372">
        <f t="shared" si="293"/>
        <v>1.5890691429376602E-8</v>
      </c>
      <c r="G372">
        <f t="shared" si="289"/>
        <v>1055531162664960</v>
      </c>
      <c r="H372">
        <f t="shared" si="308"/>
        <v>70368744177664</v>
      </c>
      <c r="I372">
        <f t="shared" si="312"/>
        <v>257698037760</v>
      </c>
      <c r="J372">
        <f t="shared" si="295"/>
        <v>1.080863910568919E+18</v>
      </c>
      <c r="K372">
        <f t="shared" si="296"/>
        <v>1024</v>
      </c>
      <c r="L372" s="1">
        <f t="shared" si="297"/>
        <v>0</v>
      </c>
      <c r="M372" s="1">
        <f t="shared" si="298"/>
        <v>6.6666666666665722E-2</v>
      </c>
      <c r="N372">
        <f t="shared" si="299"/>
        <v>257698037760</v>
      </c>
      <c r="O372">
        <f t="shared" si="310"/>
        <v>35184372088832</v>
      </c>
      <c r="P372">
        <f t="shared" si="300"/>
        <v>0</v>
      </c>
      <c r="Q372">
        <f t="shared" si="301"/>
        <v>0</v>
      </c>
      <c r="S372">
        <f t="shared" si="302"/>
        <v>4194304</v>
      </c>
    </row>
    <row r="373" spans="2:19">
      <c r="B373">
        <f t="shared" si="303"/>
        <v>4194304</v>
      </c>
      <c r="D373">
        <f t="shared" si="291"/>
        <v>18325193796.266666</v>
      </c>
      <c r="E373" s="1">
        <f t="shared" si="292"/>
        <v>1</v>
      </c>
      <c r="F373">
        <f t="shared" si="293"/>
        <v>1.4897523215040565E-8</v>
      </c>
      <c r="G373">
        <f t="shared" si="289"/>
        <v>1125899906842624</v>
      </c>
      <c r="H373">
        <f t="shared" si="308"/>
        <v>70368744177664</v>
      </c>
      <c r="I373">
        <f t="shared" si="312"/>
        <v>274877906944</v>
      </c>
      <c r="J373">
        <f t="shared" si="295"/>
        <v>1.152921504606847E+18</v>
      </c>
      <c r="K373">
        <f t="shared" si="296"/>
        <v>1024</v>
      </c>
      <c r="L373" s="1">
        <f t="shared" si="297"/>
        <v>0</v>
      </c>
      <c r="M373" s="1">
        <f t="shared" si="298"/>
        <v>6.2499999999999112E-2</v>
      </c>
      <c r="N373">
        <f t="shared" si="299"/>
        <v>274877906944</v>
      </c>
      <c r="O373">
        <f t="shared" si="310"/>
        <v>1125899906842624</v>
      </c>
      <c r="P373">
        <f t="shared" si="300"/>
        <v>0</v>
      </c>
      <c r="Q373">
        <f t="shared" si="301"/>
        <v>0</v>
      </c>
      <c r="S373">
        <f t="shared" si="302"/>
        <v>4194304</v>
      </c>
    </row>
    <row r="374" spans="2:19">
      <c r="B374">
        <f t="shared" si="303"/>
        <v>4194304</v>
      </c>
      <c r="D374">
        <f t="shared" si="291"/>
        <v>20615843020.799999</v>
      </c>
      <c r="E374" s="1">
        <f t="shared" si="292"/>
        <v>1</v>
      </c>
      <c r="F374">
        <f t="shared" si="293"/>
        <v>1.3242242857813835E-8</v>
      </c>
      <c r="G374">
        <f t="shared" ref="G374:G437" si="313">G373+H374</f>
        <v>1266637395197952</v>
      </c>
      <c r="H374">
        <f t="shared" ref="H374" si="314">H366*2</f>
        <v>140737488355328</v>
      </c>
      <c r="I374">
        <f t="shared" si="312"/>
        <v>309237645312</v>
      </c>
      <c r="J374">
        <f t="shared" si="295"/>
        <v>1.2970366926827028E+18</v>
      </c>
      <c r="K374">
        <f t="shared" si="296"/>
        <v>1024</v>
      </c>
      <c r="L374" s="1">
        <f t="shared" si="297"/>
        <v>0</v>
      </c>
      <c r="M374" s="1">
        <f t="shared" si="298"/>
        <v>0.11111111111111033</v>
      </c>
      <c r="N374">
        <f t="shared" si="299"/>
        <v>309237645312</v>
      </c>
      <c r="O374">
        <f t="shared" si="310"/>
        <v>70368744177664</v>
      </c>
      <c r="P374">
        <f t="shared" si="300"/>
        <v>0</v>
      </c>
      <c r="Q374">
        <f t="shared" si="301"/>
        <v>0</v>
      </c>
      <c r="S374">
        <f t="shared" si="302"/>
        <v>4194304</v>
      </c>
    </row>
    <row r="375" spans="2:19">
      <c r="B375">
        <f t="shared" si="303"/>
        <v>4194304</v>
      </c>
      <c r="D375">
        <f t="shared" si="291"/>
        <v>22906492245.333332</v>
      </c>
      <c r="E375" s="1">
        <f t="shared" si="292"/>
        <v>1</v>
      </c>
      <c r="F375">
        <f t="shared" si="293"/>
        <v>1.1918018572032452E-8</v>
      </c>
      <c r="G375">
        <f t="shared" si="313"/>
        <v>1407374883553280</v>
      </c>
      <c r="H375">
        <f t="shared" si="308"/>
        <v>140737488355328</v>
      </c>
      <c r="I375">
        <f t="shared" si="312"/>
        <v>343597383680</v>
      </c>
      <c r="J375">
        <f t="shared" si="295"/>
        <v>1.4411518807585587E+18</v>
      </c>
      <c r="K375">
        <f t="shared" si="296"/>
        <v>1024</v>
      </c>
      <c r="L375" s="1">
        <f t="shared" si="297"/>
        <v>0</v>
      </c>
      <c r="M375" s="1">
        <f t="shared" si="298"/>
        <v>9.9999999999999284E-2</v>
      </c>
      <c r="N375">
        <f t="shared" si="299"/>
        <v>343597383680</v>
      </c>
      <c r="O375">
        <f t="shared" si="310"/>
        <v>140737488355328</v>
      </c>
      <c r="P375">
        <f t="shared" si="300"/>
        <v>0</v>
      </c>
      <c r="Q375">
        <f t="shared" si="301"/>
        <v>0</v>
      </c>
      <c r="S375">
        <f t="shared" si="302"/>
        <v>4194304</v>
      </c>
    </row>
    <row r="376" spans="2:19">
      <c r="B376">
        <f t="shared" si="303"/>
        <v>4194304</v>
      </c>
      <c r="D376">
        <f t="shared" si="291"/>
        <v>25197141469.866665</v>
      </c>
      <c r="E376" s="1">
        <f t="shared" si="292"/>
        <v>1</v>
      </c>
      <c r="F376">
        <f t="shared" si="293"/>
        <v>1.0834562338211319E-8</v>
      </c>
      <c r="G376">
        <f t="shared" si="313"/>
        <v>1548112371908608</v>
      </c>
      <c r="H376">
        <f t="shared" si="308"/>
        <v>140737488355328</v>
      </c>
      <c r="I376">
        <f t="shared" si="312"/>
        <v>377957122048</v>
      </c>
      <c r="J376">
        <f t="shared" si="295"/>
        <v>1.5852670688344146E+18</v>
      </c>
      <c r="K376">
        <f t="shared" si="296"/>
        <v>1024</v>
      </c>
      <c r="L376" s="1">
        <f t="shared" si="297"/>
        <v>0</v>
      </c>
      <c r="M376" s="1">
        <f t="shared" si="298"/>
        <v>9.0909090909090259E-2</v>
      </c>
      <c r="N376">
        <f t="shared" si="299"/>
        <v>377957122048</v>
      </c>
      <c r="O376">
        <f t="shared" si="310"/>
        <v>70368744177664</v>
      </c>
      <c r="P376">
        <f t="shared" si="300"/>
        <v>0</v>
      </c>
      <c r="Q376">
        <f t="shared" si="301"/>
        <v>0</v>
      </c>
      <c r="S376">
        <f t="shared" si="302"/>
        <v>4194304</v>
      </c>
    </row>
    <row r="377" spans="2:19">
      <c r="B377">
        <f t="shared" si="303"/>
        <v>4194304</v>
      </c>
      <c r="D377">
        <f t="shared" si="291"/>
        <v>27487790694.400002</v>
      </c>
      <c r="E377" s="1">
        <f t="shared" si="292"/>
        <v>1</v>
      </c>
      <c r="F377">
        <f t="shared" si="293"/>
        <v>9.9316821433603764E-9</v>
      </c>
      <c r="G377">
        <f t="shared" si="313"/>
        <v>1688849860263936</v>
      </c>
      <c r="H377">
        <f t="shared" si="308"/>
        <v>140737488355328</v>
      </c>
      <c r="I377">
        <f t="shared" si="312"/>
        <v>412316860416</v>
      </c>
      <c r="J377">
        <f t="shared" si="295"/>
        <v>1.7293822569102705E+18</v>
      </c>
      <c r="K377">
        <f t="shared" si="296"/>
        <v>1024</v>
      </c>
      <c r="L377" s="1">
        <f t="shared" si="297"/>
        <v>0</v>
      </c>
      <c r="M377" s="1">
        <f t="shared" si="298"/>
        <v>8.3333333333332746E-2</v>
      </c>
      <c r="N377">
        <f t="shared" si="299"/>
        <v>412316860416</v>
      </c>
      <c r="O377">
        <f t="shared" si="310"/>
        <v>281474976710656</v>
      </c>
      <c r="P377">
        <f t="shared" si="300"/>
        <v>0</v>
      </c>
      <c r="Q377">
        <f t="shared" si="301"/>
        <v>0</v>
      </c>
      <c r="S377">
        <f t="shared" si="302"/>
        <v>4194304</v>
      </c>
    </row>
    <row r="378" spans="2:19">
      <c r="B378">
        <f t="shared" si="303"/>
        <v>4194304</v>
      </c>
      <c r="D378">
        <f t="shared" si="291"/>
        <v>29778439918.933334</v>
      </c>
      <c r="E378" s="1">
        <f t="shared" si="292"/>
        <v>1</v>
      </c>
      <c r="F378">
        <f t="shared" si="293"/>
        <v>9.1677065938711166E-9</v>
      </c>
      <c r="G378">
        <f t="shared" si="313"/>
        <v>1829587348619264</v>
      </c>
      <c r="H378">
        <f t="shared" si="308"/>
        <v>140737488355328</v>
      </c>
      <c r="I378">
        <f t="shared" si="312"/>
        <v>446676598784</v>
      </c>
      <c r="J378">
        <f t="shared" si="295"/>
        <v>1.8734974449861263E+18</v>
      </c>
      <c r="K378">
        <f t="shared" si="296"/>
        <v>1024</v>
      </c>
      <c r="L378" s="1">
        <f t="shared" si="297"/>
        <v>0</v>
      </c>
      <c r="M378" s="1">
        <f t="shared" si="298"/>
        <v>7.6923076923076372E-2</v>
      </c>
      <c r="N378">
        <f t="shared" si="299"/>
        <v>446676598784</v>
      </c>
      <c r="O378">
        <f t="shared" si="310"/>
        <v>70368744177664</v>
      </c>
      <c r="P378">
        <f t="shared" si="300"/>
        <v>0</v>
      </c>
      <c r="Q378">
        <f t="shared" si="301"/>
        <v>0</v>
      </c>
      <c r="S378">
        <f t="shared" si="302"/>
        <v>4194304</v>
      </c>
    </row>
    <row r="379" spans="2:19">
      <c r="B379">
        <f t="shared" si="303"/>
        <v>4194304</v>
      </c>
      <c r="D379">
        <f t="shared" si="291"/>
        <v>32069089143.466667</v>
      </c>
      <c r="E379" s="1">
        <f t="shared" si="292"/>
        <v>1</v>
      </c>
      <c r="F379">
        <f t="shared" si="293"/>
        <v>8.5128704085946083E-9</v>
      </c>
      <c r="G379">
        <f t="shared" si="313"/>
        <v>1970324836974592</v>
      </c>
      <c r="H379">
        <f t="shared" si="308"/>
        <v>140737488355328</v>
      </c>
      <c r="I379">
        <f t="shared" si="312"/>
        <v>481036337152</v>
      </c>
      <c r="J379">
        <f t="shared" si="295"/>
        <v>2.0176126330619822E+18</v>
      </c>
      <c r="K379">
        <f t="shared" si="296"/>
        <v>1024</v>
      </c>
      <c r="L379" s="1">
        <f t="shared" si="297"/>
        <v>0</v>
      </c>
      <c r="M379" s="1">
        <f t="shared" si="298"/>
        <v>7.1428571428570925E-2</v>
      </c>
      <c r="N379">
        <f t="shared" si="299"/>
        <v>481036337152</v>
      </c>
      <c r="O379">
        <f t="shared" si="310"/>
        <v>140737488355328</v>
      </c>
      <c r="P379">
        <f t="shared" si="300"/>
        <v>0</v>
      </c>
      <c r="Q379">
        <f t="shared" si="301"/>
        <v>0</v>
      </c>
      <c r="S379">
        <f t="shared" si="302"/>
        <v>4194304</v>
      </c>
    </row>
    <row r="380" spans="2:19">
      <c r="B380">
        <f t="shared" si="303"/>
        <v>4194304</v>
      </c>
      <c r="D380">
        <f t="shared" si="291"/>
        <v>34359738368</v>
      </c>
      <c r="E380" s="1">
        <f t="shared" si="292"/>
        <v>1</v>
      </c>
      <c r="F380">
        <f t="shared" si="293"/>
        <v>7.9453457146883011E-9</v>
      </c>
      <c r="G380">
        <f t="shared" si="313"/>
        <v>2111062325329920</v>
      </c>
      <c r="H380">
        <f t="shared" si="308"/>
        <v>140737488355328</v>
      </c>
      <c r="I380">
        <f t="shared" si="312"/>
        <v>515396075520</v>
      </c>
      <c r="J380">
        <f t="shared" si="295"/>
        <v>2.1617278211378381E+18</v>
      </c>
      <c r="K380">
        <f t="shared" si="296"/>
        <v>1024</v>
      </c>
      <c r="L380" s="1">
        <f t="shared" si="297"/>
        <v>0</v>
      </c>
      <c r="M380" s="1">
        <f t="shared" si="298"/>
        <v>6.6666666666666194E-2</v>
      </c>
      <c r="N380">
        <f t="shared" si="299"/>
        <v>515396075520</v>
      </c>
      <c r="O380">
        <f t="shared" si="310"/>
        <v>70368744177664</v>
      </c>
      <c r="P380">
        <f t="shared" si="300"/>
        <v>0</v>
      </c>
      <c r="Q380">
        <f t="shared" si="301"/>
        <v>0</v>
      </c>
      <c r="S380">
        <f t="shared" si="302"/>
        <v>4194304</v>
      </c>
    </row>
    <row r="381" spans="2:19">
      <c r="B381">
        <f t="shared" si="303"/>
        <v>4194304</v>
      </c>
      <c r="D381">
        <f t="shared" ref="D381:D444" si="315">I381/15</f>
        <v>36650387592.533333</v>
      </c>
      <c r="E381" s="1">
        <f t="shared" ref="E381:E444" si="316">(F381 - FLOOR(F381,1))/F381</f>
        <v>1</v>
      </c>
      <c r="F381">
        <f t="shared" ref="F381:F444" si="317">$E$22/I381</f>
        <v>7.4487616075202823E-9</v>
      </c>
      <c r="G381">
        <f t="shared" si="313"/>
        <v>2251799813685248</v>
      </c>
      <c r="H381">
        <f t="shared" si="308"/>
        <v>140737488355328</v>
      </c>
      <c r="I381">
        <f t="shared" si="312"/>
        <v>549755813888</v>
      </c>
      <c r="J381">
        <f t="shared" si="295"/>
        <v>2.305843009213694E+18</v>
      </c>
      <c r="K381">
        <f t="shared" si="296"/>
        <v>1024</v>
      </c>
      <c r="L381" s="1">
        <f t="shared" si="297"/>
        <v>0</v>
      </c>
      <c r="M381" s="1">
        <f t="shared" si="298"/>
        <v>6.2499999999999556E-2</v>
      </c>
      <c r="N381">
        <f t="shared" si="299"/>
        <v>549755813888</v>
      </c>
      <c r="O381">
        <f t="shared" si="310"/>
        <v>2251799813685248</v>
      </c>
      <c r="P381">
        <f t="shared" si="300"/>
        <v>0</v>
      </c>
      <c r="Q381">
        <f t="shared" si="301"/>
        <v>0</v>
      </c>
      <c r="S381">
        <f t="shared" si="302"/>
        <v>4194304</v>
      </c>
    </row>
    <row r="382" spans="2:19">
      <c r="B382">
        <f t="shared" si="303"/>
        <v>4194304</v>
      </c>
      <c r="D382">
        <f t="shared" si="315"/>
        <v>41231686041.599998</v>
      </c>
      <c r="E382" s="1">
        <f t="shared" si="316"/>
        <v>1</v>
      </c>
      <c r="F382">
        <f t="shared" si="317"/>
        <v>6.6211214289069176E-9</v>
      </c>
      <c r="G382">
        <f t="shared" si="313"/>
        <v>2533274790395904</v>
      </c>
      <c r="H382">
        <f t="shared" ref="H382" si="318">H374*2</f>
        <v>281474976710656</v>
      </c>
      <c r="I382">
        <f t="shared" si="312"/>
        <v>618475290624</v>
      </c>
      <c r="J382">
        <f t="shared" ref="J382:J445" si="319">B382*I382</f>
        <v>2.5940733853654057E+18</v>
      </c>
      <c r="K382">
        <f t="shared" ref="K382:K445" si="320">FLOOR(J382/G382,1)</f>
        <v>1024</v>
      </c>
      <c r="L382" s="1">
        <f t="shared" ref="L382:L445" si="321">(J382-K382*G382)/J382</f>
        <v>0</v>
      </c>
      <c r="M382" s="1">
        <f t="shared" ref="M382:M445" si="322">(G382-(G381+1))/(G382)</f>
        <v>0.11111111111111072</v>
      </c>
      <c r="N382">
        <f t="shared" ref="N382:N445" si="323">J382/B382</f>
        <v>618475290624</v>
      </c>
      <c r="O382">
        <f t="shared" si="310"/>
        <v>140737488355328</v>
      </c>
      <c r="P382">
        <f t="shared" ref="P382:P445" si="324">J382-G382*K382</f>
        <v>0</v>
      </c>
      <c r="Q382">
        <f t="shared" ref="Q382:Q445" si="325">P382/I382</f>
        <v>0</v>
      </c>
      <c r="S382">
        <f t="shared" ref="S382:S445" si="326">FLOOR((G382 + (B382-1))/B382, 1)*B382 - G382</f>
        <v>4194304</v>
      </c>
    </row>
    <row r="383" spans="2:19">
      <c r="B383">
        <f t="shared" ref="B383:B446" si="327">B382</f>
        <v>4194304</v>
      </c>
      <c r="D383">
        <f t="shared" si="315"/>
        <v>45812984490.666664</v>
      </c>
      <c r="E383" s="1">
        <f t="shared" si="316"/>
        <v>1</v>
      </c>
      <c r="F383">
        <f t="shared" si="317"/>
        <v>5.9590092860162258E-9</v>
      </c>
      <c r="G383">
        <f t="shared" si="313"/>
        <v>2814749767106560</v>
      </c>
      <c r="H383">
        <f t="shared" si="308"/>
        <v>281474976710656</v>
      </c>
      <c r="I383">
        <f t="shared" si="312"/>
        <v>687194767360</v>
      </c>
      <c r="J383">
        <f t="shared" si="319"/>
        <v>2.8823037615171174E+18</v>
      </c>
      <c r="K383">
        <f t="shared" si="320"/>
        <v>1024</v>
      </c>
      <c r="L383" s="1">
        <f t="shared" si="321"/>
        <v>0</v>
      </c>
      <c r="M383" s="1">
        <f t="shared" si="322"/>
        <v>9.9999999999999645E-2</v>
      </c>
      <c r="N383">
        <f t="shared" si="323"/>
        <v>687194767360</v>
      </c>
      <c r="O383">
        <f t="shared" si="310"/>
        <v>281474976710656</v>
      </c>
      <c r="P383">
        <f t="shared" si="324"/>
        <v>0</v>
      </c>
      <c r="Q383">
        <f t="shared" si="325"/>
        <v>0</v>
      </c>
      <c r="S383">
        <f t="shared" si="326"/>
        <v>4194304</v>
      </c>
    </row>
    <row r="384" spans="2:19">
      <c r="B384">
        <f t="shared" si="327"/>
        <v>4194304</v>
      </c>
      <c r="D384">
        <f t="shared" si="315"/>
        <v>50394282939.73333</v>
      </c>
      <c r="E384" s="1">
        <f t="shared" si="316"/>
        <v>1</v>
      </c>
      <c r="F384">
        <f t="shared" si="317"/>
        <v>5.4172811691056595E-9</v>
      </c>
      <c r="G384">
        <f t="shared" si="313"/>
        <v>3096224743817216</v>
      </c>
      <c r="H384">
        <f t="shared" si="308"/>
        <v>281474976710656</v>
      </c>
      <c r="I384">
        <f t="shared" si="312"/>
        <v>755914244096</v>
      </c>
      <c r="J384">
        <f t="shared" si="319"/>
        <v>3.1705341376688292E+18</v>
      </c>
      <c r="K384">
        <f t="shared" si="320"/>
        <v>1024</v>
      </c>
      <c r="L384" s="1">
        <f t="shared" si="321"/>
        <v>0</v>
      </c>
      <c r="M384" s="1">
        <f t="shared" si="322"/>
        <v>9.0909090909090592E-2</v>
      </c>
      <c r="N384">
        <f t="shared" si="323"/>
        <v>755914244096</v>
      </c>
      <c r="O384">
        <f t="shared" si="310"/>
        <v>140737488355328</v>
      </c>
      <c r="P384">
        <f t="shared" si="324"/>
        <v>0</v>
      </c>
      <c r="Q384">
        <f t="shared" si="325"/>
        <v>0</v>
      </c>
      <c r="S384">
        <f t="shared" si="326"/>
        <v>4194304</v>
      </c>
    </row>
    <row r="385" spans="2:19">
      <c r="B385">
        <f t="shared" si="327"/>
        <v>4194304</v>
      </c>
      <c r="D385">
        <f t="shared" si="315"/>
        <v>54975581388.800003</v>
      </c>
      <c r="E385" s="1">
        <f t="shared" si="316"/>
        <v>1</v>
      </c>
      <c r="F385">
        <f t="shared" si="317"/>
        <v>4.9658410716801882E-9</v>
      </c>
      <c r="G385">
        <f t="shared" si="313"/>
        <v>3377699720527872</v>
      </c>
      <c r="H385">
        <f t="shared" si="308"/>
        <v>281474976710656</v>
      </c>
      <c r="I385">
        <f t="shared" si="312"/>
        <v>824633720832</v>
      </c>
      <c r="J385">
        <f t="shared" si="319"/>
        <v>3.4587645138205409E+18</v>
      </c>
      <c r="K385">
        <f t="shared" si="320"/>
        <v>1024</v>
      </c>
      <c r="L385" s="1">
        <f t="shared" si="321"/>
        <v>0</v>
      </c>
      <c r="M385" s="1">
        <f t="shared" si="322"/>
        <v>8.3333333333333037E-2</v>
      </c>
      <c r="N385">
        <f t="shared" si="323"/>
        <v>824633720832</v>
      </c>
      <c r="O385">
        <f t="shared" si="310"/>
        <v>562949953421312</v>
      </c>
      <c r="P385">
        <f t="shared" si="324"/>
        <v>0</v>
      </c>
      <c r="Q385">
        <f t="shared" si="325"/>
        <v>0</v>
      </c>
      <c r="S385">
        <f t="shared" si="326"/>
        <v>4194304</v>
      </c>
    </row>
    <row r="386" spans="2:19">
      <c r="B386">
        <f t="shared" si="327"/>
        <v>4194304</v>
      </c>
      <c r="D386">
        <f t="shared" si="315"/>
        <v>59556879837.866669</v>
      </c>
      <c r="E386" s="1">
        <f t="shared" si="316"/>
        <v>1</v>
      </c>
      <c r="F386">
        <f t="shared" si="317"/>
        <v>4.5838532969355583E-9</v>
      </c>
      <c r="G386">
        <f t="shared" si="313"/>
        <v>3659174697238528</v>
      </c>
      <c r="H386">
        <f t="shared" si="308"/>
        <v>281474976710656</v>
      </c>
      <c r="I386">
        <f t="shared" si="312"/>
        <v>893353197568</v>
      </c>
      <c r="J386">
        <f t="shared" si="319"/>
        <v>3.7469948899722527E+18</v>
      </c>
      <c r="K386">
        <f t="shared" si="320"/>
        <v>1024</v>
      </c>
      <c r="L386" s="1">
        <f t="shared" si="321"/>
        <v>0</v>
      </c>
      <c r="M386" s="1">
        <f t="shared" si="322"/>
        <v>7.692307692307665E-2</v>
      </c>
      <c r="N386">
        <f t="shared" si="323"/>
        <v>893353197568</v>
      </c>
      <c r="O386">
        <f t="shared" si="310"/>
        <v>140737488355328</v>
      </c>
      <c r="P386">
        <f t="shared" si="324"/>
        <v>0</v>
      </c>
      <c r="Q386">
        <f t="shared" si="325"/>
        <v>0</v>
      </c>
      <c r="S386">
        <f t="shared" si="326"/>
        <v>4194304</v>
      </c>
    </row>
    <row r="387" spans="2:19">
      <c r="B387">
        <f t="shared" si="327"/>
        <v>4194304</v>
      </c>
      <c r="D387">
        <f t="shared" si="315"/>
        <v>64138178286.933334</v>
      </c>
      <c r="E387" s="1">
        <f t="shared" si="316"/>
        <v>1</v>
      </c>
      <c r="F387">
        <f t="shared" si="317"/>
        <v>4.2564352042973042E-9</v>
      </c>
      <c r="G387">
        <f t="shared" si="313"/>
        <v>3940649673949184</v>
      </c>
      <c r="H387">
        <f t="shared" si="308"/>
        <v>281474976710656</v>
      </c>
      <c r="I387">
        <f t="shared" si="312"/>
        <v>962072674304</v>
      </c>
      <c r="J387">
        <f t="shared" si="319"/>
        <v>4.0352252661239644E+18</v>
      </c>
      <c r="K387">
        <f t="shared" si="320"/>
        <v>1024</v>
      </c>
      <c r="L387" s="1">
        <f t="shared" si="321"/>
        <v>0</v>
      </c>
      <c r="M387" s="1">
        <f t="shared" si="322"/>
        <v>7.1428571428571175E-2</v>
      </c>
      <c r="N387">
        <f t="shared" si="323"/>
        <v>962072674304</v>
      </c>
      <c r="O387">
        <f t="shared" si="310"/>
        <v>281474976710656</v>
      </c>
      <c r="P387">
        <f t="shared" si="324"/>
        <v>0</v>
      </c>
      <c r="Q387">
        <f t="shared" si="325"/>
        <v>0</v>
      </c>
      <c r="S387">
        <f t="shared" si="326"/>
        <v>4194304</v>
      </c>
    </row>
    <row r="388" spans="2:19">
      <c r="B388">
        <f t="shared" si="327"/>
        <v>4194304</v>
      </c>
      <c r="D388">
        <f t="shared" si="315"/>
        <v>68719476736</v>
      </c>
      <c r="E388" s="1">
        <f t="shared" si="316"/>
        <v>1</v>
      </c>
      <c r="F388">
        <f t="shared" si="317"/>
        <v>3.9726728573441505E-9</v>
      </c>
      <c r="G388">
        <f t="shared" si="313"/>
        <v>4222124650659840</v>
      </c>
      <c r="H388">
        <f t="shared" si="308"/>
        <v>281474976710656</v>
      </c>
      <c r="I388">
        <f t="shared" si="312"/>
        <v>1030792151040</v>
      </c>
      <c r="J388">
        <f t="shared" si="319"/>
        <v>4.3234556422756762E+18</v>
      </c>
      <c r="K388">
        <f t="shared" si="320"/>
        <v>1024</v>
      </c>
      <c r="L388" s="1">
        <f t="shared" si="321"/>
        <v>0</v>
      </c>
      <c r="M388" s="1">
        <f t="shared" si="322"/>
        <v>6.666666666666643E-2</v>
      </c>
      <c r="N388">
        <f t="shared" si="323"/>
        <v>1030792151040</v>
      </c>
      <c r="O388">
        <f t="shared" si="310"/>
        <v>140737488355328</v>
      </c>
      <c r="P388">
        <f t="shared" si="324"/>
        <v>0</v>
      </c>
      <c r="Q388">
        <f t="shared" si="325"/>
        <v>0</v>
      </c>
      <c r="S388">
        <f t="shared" si="326"/>
        <v>4194304</v>
      </c>
    </row>
    <row r="389" spans="2:19">
      <c r="B389">
        <f t="shared" si="327"/>
        <v>4194304</v>
      </c>
      <c r="D389">
        <f t="shared" si="315"/>
        <v>73300775185.066666</v>
      </c>
      <c r="E389" s="1">
        <f t="shared" si="316"/>
        <v>1</v>
      </c>
      <c r="F389">
        <f t="shared" si="317"/>
        <v>3.7243808037601411E-9</v>
      </c>
      <c r="G389">
        <f t="shared" si="313"/>
        <v>4503599627370496</v>
      </c>
      <c r="H389">
        <f t="shared" si="308"/>
        <v>281474976710656</v>
      </c>
      <c r="I389">
        <f t="shared" si="312"/>
        <v>1099511627776</v>
      </c>
      <c r="J389">
        <f t="shared" si="319"/>
        <v>4.6116860184273879E+18</v>
      </c>
      <c r="K389">
        <f t="shared" si="320"/>
        <v>1024</v>
      </c>
      <c r="L389" s="1">
        <f t="shared" si="321"/>
        <v>0</v>
      </c>
      <c r="M389" s="1">
        <f t="shared" si="322"/>
        <v>6.2499999999999778E-2</v>
      </c>
      <c r="N389">
        <f t="shared" si="323"/>
        <v>1099511627776</v>
      </c>
      <c r="O389">
        <f t="shared" si="310"/>
        <v>4503599627370496</v>
      </c>
      <c r="P389">
        <f t="shared" si="324"/>
        <v>0</v>
      </c>
      <c r="Q389">
        <f t="shared" si="325"/>
        <v>0</v>
      </c>
      <c r="S389">
        <f t="shared" si="326"/>
        <v>4194304</v>
      </c>
    </row>
    <row r="390" spans="2:19">
      <c r="B390">
        <f t="shared" si="327"/>
        <v>4194304</v>
      </c>
      <c r="D390">
        <f t="shared" si="315"/>
        <v>82463372083.199997</v>
      </c>
      <c r="E390" s="1">
        <f t="shared" si="316"/>
        <v>1</v>
      </c>
      <c r="F390">
        <f t="shared" si="317"/>
        <v>3.3105607144534588E-9</v>
      </c>
      <c r="G390">
        <f t="shared" si="313"/>
        <v>5066549580791808</v>
      </c>
      <c r="H390">
        <f t="shared" ref="H390" si="328">H382*2</f>
        <v>562949953421312</v>
      </c>
      <c r="I390">
        <f t="shared" si="312"/>
        <v>1236950581248</v>
      </c>
      <c r="J390">
        <f t="shared" si="319"/>
        <v>5.1881467707308114E+18</v>
      </c>
      <c r="K390">
        <f t="shared" si="320"/>
        <v>1024</v>
      </c>
      <c r="L390" s="1">
        <f t="shared" si="321"/>
        <v>0</v>
      </c>
      <c r="M390" s="1">
        <f t="shared" si="322"/>
        <v>0.11111111111111091</v>
      </c>
      <c r="N390">
        <f t="shared" si="323"/>
        <v>1236950581248</v>
      </c>
      <c r="O390">
        <f t="shared" si="310"/>
        <v>281474976710656</v>
      </c>
      <c r="P390">
        <f t="shared" si="324"/>
        <v>0</v>
      </c>
      <c r="Q390">
        <f t="shared" si="325"/>
        <v>0</v>
      </c>
      <c r="S390">
        <f t="shared" si="326"/>
        <v>4194304</v>
      </c>
    </row>
    <row r="391" spans="2:19">
      <c r="B391">
        <f t="shared" si="327"/>
        <v>4194304</v>
      </c>
      <c r="D391">
        <f t="shared" si="315"/>
        <v>91625968981.333328</v>
      </c>
      <c r="E391" s="1">
        <f t="shared" si="316"/>
        <v>1</v>
      </c>
      <c r="F391">
        <f t="shared" si="317"/>
        <v>2.9795046430081129E-9</v>
      </c>
      <c r="G391">
        <f t="shared" si="313"/>
        <v>5629499534213120</v>
      </c>
      <c r="H391">
        <f t="shared" si="308"/>
        <v>562949953421312</v>
      </c>
      <c r="I391">
        <f t="shared" si="312"/>
        <v>1374389534720</v>
      </c>
      <c r="J391">
        <f t="shared" si="319"/>
        <v>5.7646075230342349E+18</v>
      </c>
      <c r="K391">
        <f t="shared" si="320"/>
        <v>1024</v>
      </c>
      <c r="L391" s="1">
        <f t="shared" si="321"/>
        <v>0</v>
      </c>
      <c r="M391" s="1">
        <f t="shared" si="322"/>
        <v>9.9999999999999825E-2</v>
      </c>
      <c r="N391">
        <f t="shared" si="323"/>
        <v>1374389534720</v>
      </c>
      <c r="O391">
        <f t="shared" si="310"/>
        <v>562949953421312</v>
      </c>
      <c r="P391">
        <f t="shared" si="324"/>
        <v>0</v>
      </c>
      <c r="Q391">
        <f t="shared" si="325"/>
        <v>0</v>
      </c>
      <c r="S391">
        <f t="shared" si="326"/>
        <v>4194304</v>
      </c>
    </row>
    <row r="392" spans="2:19">
      <c r="B392">
        <f t="shared" si="327"/>
        <v>4194304</v>
      </c>
      <c r="D392">
        <f t="shared" si="315"/>
        <v>100788565879.46666</v>
      </c>
      <c r="E392" s="1">
        <f t="shared" si="316"/>
        <v>1</v>
      </c>
      <c r="F392">
        <f t="shared" si="317"/>
        <v>2.7086405845528298E-9</v>
      </c>
      <c r="G392">
        <f t="shared" si="313"/>
        <v>6192449487634432</v>
      </c>
      <c r="H392">
        <f t="shared" si="308"/>
        <v>562949953421312</v>
      </c>
      <c r="I392">
        <f t="shared" si="312"/>
        <v>1511828488192</v>
      </c>
      <c r="J392">
        <f t="shared" si="319"/>
        <v>6.3410682753376584E+18</v>
      </c>
      <c r="K392">
        <f t="shared" si="320"/>
        <v>1024</v>
      </c>
      <c r="L392" s="1">
        <f t="shared" si="321"/>
        <v>0</v>
      </c>
      <c r="M392" s="1">
        <f t="shared" si="322"/>
        <v>9.0909090909090745E-2</v>
      </c>
      <c r="N392">
        <f t="shared" si="323"/>
        <v>1511828488192</v>
      </c>
      <c r="O392">
        <f t="shared" si="310"/>
        <v>281474976710656</v>
      </c>
      <c r="P392">
        <f t="shared" si="324"/>
        <v>0</v>
      </c>
      <c r="Q392">
        <f t="shared" si="325"/>
        <v>0</v>
      </c>
      <c r="S392">
        <f t="shared" si="326"/>
        <v>4194304</v>
      </c>
    </row>
    <row r="393" spans="2:19">
      <c r="B393">
        <f t="shared" si="327"/>
        <v>4194304</v>
      </c>
      <c r="D393">
        <f t="shared" si="315"/>
        <v>109951162777.60001</v>
      </c>
      <c r="E393" s="1">
        <f t="shared" si="316"/>
        <v>1</v>
      </c>
      <c r="F393">
        <f t="shared" si="317"/>
        <v>2.4829205358400941E-9</v>
      </c>
      <c r="G393">
        <f t="shared" si="313"/>
        <v>6755399441055744</v>
      </c>
      <c r="H393">
        <f t="shared" si="308"/>
        <v>562949953421312</v>
      </c>
      <c r="I393">
        <f t="shared" si="312"/>
        <v>1649267441664</v>
      </c>
      <c r="J393">
        <f t="shared" si="319"/>
        <v>6.9175290276410819E+18</v>
      </c>
      <c r="K393">
        <f t="shared" si="320"/>
        <v>1024</v>
      </c>
      <c r="L393" s="1">
        <f t="shared" si="321"/>
        <v>0</v>
      </c>
      <c r="M393" s="1">
        <f t="shared" si="322"/>
        <v>8.333333333333319E-2</v>
      </c>
      <c r="N393">
        <f t="shared" si="323"/>
        <v>1649267441664</v>
      </c>
      <c r="O393">
        <f t="shared" si="310"/>
        <v>1125899906842624</v>
      </c>
      <c r="P393">
        <f t="shared" si="324"/>
        <v>0</v>
      </c>
      <c r="Q393">
        <f t="shared" si="325"/>
        <v>0</v>
      </c>
      <c r="S393">
        <f t="shared" si="326"/>
        <v>4194304</v>
      </c>
    </row>
    <row r="394" spans="2:19">
      <c r="B394">
        <f t="shared" si="327"/>
        <v>4194304</v>
      </c>
      <c r="D394">
        <f t="shared" si="315"/>
        <v>119113759675.73334</v>
      </c>
      <c r="E394" s="1">
        <f t="shared" si="316"/>
        <v>1</v>
      </c>
      <c r="F394">
        <f t="shared" si="317"/>
        <v>2.2919266484677792E-9</v>
      </c>
      <c r="G394">
        <f t="shared" si="313"/>
        <v>7318349394477056</v>
      </c>
      <c r="H394">
        <f t="shared" si="308"/>
        <v>562949953421312</v>
      </c>
      <c r="I394">
        <f t="shared" si="312"/>
        <v>1786706395136</v>
      </c>
      <c r="J394">
        <f t="shared" si="319"/>
        <v>7.4939897799445053E+18</v>
      </c>
      <c r="K394">
        <f t="shared" si="320"/>
        <v>1024</v>
      </c>
      <c r="L394" s="1">
        <f t="shared" si="321"/>
        <v>0</v>
      </c>
      <c r="M394" s="1">
        <f t="shared" si="322"/>
        <v>7.6923076923076789E-2</v>
      </c>
      <c r="N394">
        <f t="shared" si="323"/>
        <v>1786706395136</v>
      </c>
      <c r="O394">
        <f t="shared" si="310"/>
        <v>281474976710656</v>
      </c>
      <c r="P394">
        <f t="shared" si="324"/>
        <v>0</v>
      </c>
      <c r="Q394">
        <f t="shared" si="325"/>
        <v>0</v>
      </c>
      <c r="S394">
        <f t="shared" si="326"/>
        <v>4194304</v>
      </c>
    </row>
    <row r="395" spans="2:19">
      <c r="B395">
        <f t="shared" si="327"/>
        <v>4194304</v>
      </c>
      <c r="D395">
        <f t="shared" si="315"/>
        <v>128276356573.86667</v>
      </c>
      <c r="E395" s="1">
        <f t="shared" si="316"/>
        <v>1</v>
      </c>
      <c r="F395">
        <f t="shared" si="317"/>
        <v>2.1282176021486521E-9</v>
      </c>
      <c r="G395">
        <f t="shared" si="313"/>
        <v>7881299347898368</v>
      </c>
      <c r="H395">
        <f t="shared" si="308"/>
        <v>562949953421312</v>
      </c>
      <c r="I395">
        <f t="shared" si="312"/>
        <v>1924145348608</v>
      </c>
      <c r="J395">
        <f t="shared" si="319"/>
        <v>8.0704505322479288E+18</v>
      </c>
      <c r="K395">
        <f t="shared" si="320"/>
        <v>1024</v>
      </c>
      <c r="L395" s="1">
        <f t="shared" si="321"/>
        <v>0</v>
      </c>
      <c r="M395" s="1">
        <f t="shared" si="322"/>
        <v>7.14285714285713E-2</v>
      </c>
      <c r="N395">
        <f t="shared" si="323"/>
        <v>1924145348608</v>
      </c>
      <c r="O395">
        <f t="shared" si="310"/>
        <v>562949953421312</v>
      </c>
      <c r="P395">
        <f t="shared" si="324"/>
        <v>0</v>
      </c>
      <c r="Q395">
        <f t="shared" si="325"/>
        <v>0</v>
      </c>
      <c r="S395">
        <f t="shared" si="326"/>
        <v>4194304</v>
      </c>
    </row>
    <row r="396" spans="2:19">
      <c r="B396">
        <f t="shared" si="327"/>
        <v>4194304</v>
      </c>
      <c r="D396">
        <f t="shared" si="315"/>
        <v>137438953472</v>
      </c>
      <c r="E396" s="1">
        <f t="shared" si="316"/>
        <v>1</v>
      </c>
      <c r="F396">
        <f t="shared" si="317"/>
        <v>1.9863364286720753E-9</v>
      </c>
      <c r="G396">
        <f t="shared" si="313"/>
        <v>8444249301319680</v>
      </c>
      <c r="H396">
        <f t="shared" si="308"/>
        <v>562949953421312</v>
      </c>
      <c r="I396">
        <f t="shared" si="312"/>
        <v>2061584302080</v>
      </c>
      <c r="J396">
        <f t="shared" si="319"/>
        <v>8.6469112845513523E+18</v>
      </c>
      <c r="K396">
        <f t="shared" si="320"/>
        <v>1024</v>
      </c>
      <c r="L396" s="1">
        <f t="shared" si="321"/>
        <v>0</v>
      </c>
      <c r="M396" s="1">
        <f t="shared" si="322"/>
        <v>6.6666666666666555E-2</v>
      </c>
      <c r="N396">
        <f t="shared" si="323"/>
        <v>2061584302080</v>
      </c>
      <c r="O396">
        <f t="shared" si="310"/>
        <v>281474976710656</v>
      </c>
      <c r="P396">
        <f t="shared" si="324"/>
        <v>0</v>
      </c>
      <c r="Q396">
        <f t="shared" si="325"/>
        <v>0</v>
      </c>
      <c r="S396">
        <f t="shared" si="326"/>
        <v>4194304</v>
      </c>
    </row>
    <row r="397" spans="2:19">
      <c r="B397">
        <f t="shared" si="327"/>
        <v>4194304</v>
      </c>
      <c r="D397">
        <f t="shared" si="315"/>
        <v>146601550370.13333</v>
      </c>
      <c r="E397" s="1">
        <f t="shared" si="316"/>
        <v>1</v>
      </c>
      <c r="F397">
        <f t="shared" si="317"/>
        <v>1.8621904018800706E-9</v>
      </c>
      <c r="G397">
        <f t="shared" si="313"/>
        <v>9007199254740992</v>
      </c>
      <c r="H397">
        <f t="shared" si="308"/>
        <v>562949953421312</v>
      </c>
      <c r="I397">
        <f t="shared" si="312"/>
        <v>2199023255552</v>
      </c>
      <c r="J397">
        <f t="shared" si="319"/>
        <v>9.2233720368547758E+18</v>
      </c>
      <c r="K397">
        <f t="shared" si="320"/>
        <v>1024</v>
      </c>
      <c r="L397" s="1">
        <f t="shared" si="321"/>
        <v>0</v>
      </c>
      <c r="M397" s="1">
        <f t="shared" si="322"/>
        <v>6.2499999999999889E-2</v>
      </c>
      <c r="N397">
        <f t="shared" si="323"/>
        <v>2199023255552</v>
      </c>
      <c r="O397">
        <f t="shared" si="310"/>
        <v>9007199254740992</v>
      </c>
      <c r="P397">
        <f t="shared" si="324"/>
        <v>0</v>
      </c>
      <c r="Q397">
        <f t="shared" si="325"/>
        <v>0</v>
      </c>
      <c r="S397">
        <f t="shared" si="326"/>
        <v>4194304</v>
      </c>
    </row>
    <row r="398" spans="2:19">
      <c r="B398">
        <f t="shared" si="327"/>
        <v>4194304</v>
      </c>
      <c r="D398">
        <f t="shared" si="315"/>
        <v>164926744166.39999</v>
      </c>
      <c r="E398" s="1">
        <f t="shared" si="316"/>
        <v>1</v>
      </c>
      <c r="F398">
        <f t="shared" si="317"/>
        <v>1.6552803572267294E-9</v>
      </c>
      <c r="G398">
        <f t="shared" si="313"/>
        <v>1.0133099161583616E+16</v>
      </c>
      <c r="H398">
        <f t="shared" ref="H398" si="329">H390*2</f>
        <v>1125899906842624</v>
      </c>
      <c r="I398">
        <f t="shared" si="312"/>
        <v>2473901162496</v>
      </c>
      <c r="J398">
        <f t="shared" si="319"/>
        <v>1.0376293541461623E+19</v>
      </c>
      <c r="K398">
        <f t="shared" si="320"/>
        <v>1024</v>
      </c>
      <c r="L398" s="1">
        <f t="shared" si="321"/>
        <v>0</v>
      </c>
      <c r="M398" s="1">
        <f t="shared" si="322"/>
        <v>0.1111111111111111</v>
      </c>
      <c r="N398">
        <f t="shared" si="323"/>
        <v>2473901162496</v>
      </c>
      <c r="O398">
        <f t="shared" si="310"/>
        <v>562949953421312</v>
      </c>
      <c r="P398">
        <f t="shared" si="324"/>
        <v>0</v>
      </c>
      <c r="Q398">
        <f t="shared" si="325"/>
        <v>0</v>
      </c>
      <c r="S398">
        <f t="shared" si="326"/>
        <v>4194304</v>
      </c>
    </row>
    <row r="399" spans="2:19">
      <c r="B399">
        <f t="shared" si="327"/>
        <v>4194304</v>
      </c>
      <c r="D399">
        <f t="shared" si="315"/>
        <v>183251937962.66666</v>
      </c>
      <c r="E399" s="1">
        <f t="shared" si="316"/>
        <v>1</v>
      </c>
      <c r="F399">
        <f t="shared" si="317"/>
        <v>1.4897523215040565E-9</v>
      </c>
      <c r="G399">
        <f t="shared" si="313"/>
        <v>1.125899906842624E+16</v>
      </c>
      <c r="H399">
        <f t="shared" si="308"/>
        <v>1125899906842624</v>
      </c>
      <c r="I399">
        <f t="shared" si="312"/>
        <v>2748779069440</v>
      </c>
      <c r="J399">
        <f t="shared" si="319"/>
        <v>1.152921504606847E+19</v>
      </c>
      <c r="K399">
        <f t="shared" si="320"/>
        <v>1024</v>
      </c>
      <c r="L399" s="1">
        <f t="shared" si="321"/>
        <v>0</v>
      </c>
      <c r="M399" s="1">
        <f t="shared" si="322"/>
        <v>0.1</v>
      </c>
      <c r="N399">
        <f t="shared" si="323"/>
        <v>2748779069440</v>
      </c>
      <c r="O399">
        <f t="shared" si="310"/>
        <v>1125899906842624</v>
      </c>
      <c r="P399">
        <f t="shared" si="324"/>
        <v>0</v>
      </c>
      <c r="Q399">
        <f t="shared" si="325"/>
        <v>0</v>
      </c>
      <c r="S399">
        <f t="shared" si="326"/>
        <v>4194304</v>
      </c>
    </row>
    <row r="400" spans="2:19">
      <c r="B400">
        <f t="shared" si="327"/>
        <v>4194304</v>
      </c>
      <c r="D400">
        <f t="shared" si="315"/>
        <v>201577131758.93332</v>
      </c>
      <c r="E400" s="1">
        <f t="shared" si="316"/>
        <v>1</v>
      </c>
      <c r="F400">
        <f t="shared" si="317"/>
        <v>1.3543202922764149E-9</v>
      </c>
      <c r="G400">
        <f t="shared" si="313"/>
        <v>1.2384898975268864E+16</v>
      </c>
      <c r="H400">
        <f t="shared" si="308"/>
        <v>1125899906842624</v>
      </c>
      <c r="I400">
        <f t="shared" si="312"/>
        <v>3023656976384</v>
      </c>
      <c r="J400">
        <f t="shared" si="319"/>
        <v>1.2682136550675317E+19</v>
      </c>
      <c r="K400">
        <f t="shared" si="320"/>
        <v>1024</v>
      </c>
      <c r="L400" s="1">
        <f t="shared" si="321"/>
        <v>0</v>
      </c>
      <c r="M400" s="1">
        <f t="shared" si="322"/>
        <v>9.0909090909090912E-2</v>
      </c>
      <c r="N400">
        <f t="shared" si="323"/>
        <v>3023656976384</v>
      </c>
      <c r="O400">
        <f t="shared" si="310"/>
        <v>562949953421312</v>
      </c>
      <c r="P400">
        <f t="shared" si="324"/>
        <v>0</v>
      </c>
      <c r="Q400">
        <f t="shared" si="325"/>
        <v>0</v>
      </c>
      <c r="S400">
        <f t="shared" si="326"/>
        <v>4194304</v>
      </c>
    </row>
    <row r="401" spans="2:19">
      <c r="B401">
        <f t="shared" si="327"/>
        <v>4194304</v>
      </c>
      <c r="D401">
        <f t="shared" si="315"/>
        <v>219902325555.20001</v>
      </c>
      <c r="E401" s="1">
        <f t="shared" si="316"/>
        <v>1</v>
      </c>
      <c r="F401">
        <f t="shared" si="317"/>
        <v>1.241460267920047E-9</v>
      </c>
      <c r="G401">
        <f t="shared" si="313"/>
        <v>1.3510798882111488E+16</v>
      </c>
      <c r="H401">
        <f t="shared" si="308"/>
        <v>1125899906842624</v>
      </c>
      <c r="I401">
        <f t="shared" si="312"/>
        <v>3298534883328</v>
      </c>
      <c r="J401">
        <f t="shared" si="319"/>
        <v>1.3835058055282164E+19</v>
      </c>
      <c r="K401">
        <f t="shared" si="320"/>
        <v>1024</v>
      </c>
      <c r="L401" s="1">
        <f t="shared" si="321"/>
        <v>0</v>
      </c>
      <c r="M401" s="1">
        <f t="shared" si="322"/>
        <v>8.3333333333333329E-2</v>
      </c>
      <c r="N401">
        <f t="shared" si="323"/>
        <v>3298534883328</v>
      </c>
      <c r="O401">
        <f t="shared" si="310"/>
        <v>2251799813685248</v>
      </c>
      <c r="P401">
        <f t="shared" si="324"/>
        <v>0</v>
      </c>
      <c r="Q401">
        <f t="shared" si="325"/>
        <v>0</v>
      </c>
      <c r="S401">
        <f t="shared" si="326"/>
        <v>4194304</v>
      </c>
    </row>
    <row r="402" spans="2:19">
      <c r="B402">
        <f t="shared" si="327"/>
        <v>4194304</v>
      </c>
      <c r="D402">
        <f t="shared" si="315"/>
        <v>238227519351.46667</v>
      </c>
      <c r="E402" s="1">
        <f t="shared" si="316"/>
        <v>1</v>
      </c>
      <c r="F402">
        <f t="shared" si="317"/>
        <v>1.1459633242338896E-9</v>
      </c>
      <c r="G402">
        <f t="shared" si="313"/>
        <v>1.4636698788954112E+16</v>
      </c>
      <c r="H402">
        <f t="shared" si="308"/>
        <v>1125899906842624</v>
      </c>
      <c r="I402">
        <f t="shared" si="312"/>
        <v>3573412790272</v>
      </c>
      <c r="J402">
        <f t="shared" si="319"/>
        <v>1.4987979559889011E+19</v>
      </c>
      <c r="K402">
        <f t="shared" si="320"/>
        <v>1024</v>
      </c>
      <c r="L402" s="1">
        <f t="shared" si="321"/>
        <v>0</v>
      </c>
      <c r="M402" s="1">
        <f t="shared" si="322"/>
        <v>7.6923076923076927E-2</v>
      </c>
      <c r="N402">
        <f t="shared" si="323"/>
        <v>3573412790272</v>
      </c>
      <c r="O402">
        <f t="shared" si="310"/>
        <v>562949953421312</v>
      </c>
      <c r="P402">
        <f t="shared" si="324"/>
        <v>0</v>
      </c>
      <c r="Q402">
        <f t="shared" si="325"/>
        <v>0</v>
      </c>
      <c r="S402">
        <f t="shared" si="326"/>
        <v>4194304</v>
      </c>
    </row>
    <row r="403" spans="2:19">
      <c r="B403">
        <f t="shared" si="327"/>
        <v>4194304</v>
      </c>
      <c r="D403">
        <f t="shared" si="315"/>
        <v>256552713147.73334</v>
      </c>
      <c r="E403" s="1">
        <f t="shared" si="316"/>
        <v>1</v>
      </c>
      <c r="F403">
        <f t="shared" si="317"/>
        <v>1.064108801074326E-9</v>
      </c>
      <c r="G403">
        <f t="shared" si="313"/>
        <v>1.5762598695796736E+16</v>
      </c>
      <c r="H403">
        <f t="shared" si="308"/>
        <v>1125899906842624</v>
      </c>
      <c r="I403">
        <f t="shared" si="312"/>
        <v>3848290697216</v>
      </c>
      <c r="J403">
        <f t="shared" si="319"/>
        <v>1.6140901064495858E+19</v>
      </c>
      <c r="K403">
        <f t="shared" si="320"/>
        <v>1024</v>
      </c>
      <c r="L403" s="1">
        <f t="shared" si="321"/>
        <v>0</v>
      </c>
      <c r="M403" s="1">
        <f t="shared" si="322"/>
        <v>7.1428571428571425E-2</v>
      </c>
      <c r="N403">
        <f t="shared" si="323"/>
        <v>3848290697216</v>
      </c>
      <c r="O403">
        <f t="shared" si="310"/>
        <v>1125899906842624</v>
      </c>
      <c r="P403">
        <f t="shared" si="324"/>
        <v>0</v>
      </c>
      <c r="Q403">
        <f t="shared" si="325"/>
        <v>0</v>
      </c>
      <c r="S403">
        <f t="shared" si="326"/>
        <v>4194304</v>
      </c>
    </row>
    <row r="404" spans="2:19">
      <c r="B404">
        <f t="shared" si="327"/>
        <v>4194304</v>
      </c>
      <c r="D404">
        <f t="shared" si="315"/>
        <v>274877906944</v>
      </c>
      <c r="E404" s="1">
        <f t="shared" si="316"/>
        <v>1</v>
      </c>
      <c r="F404">
        <f t="shared" si="317"/>
        <v>9.9316821433603764E-10</v>
      </c>
      <c r="G404">
        <f t="shared" si="313"/>
        <v>1.688849860263936E+16</v>
      </c>
      <c r="H404">
        <f t="shared" si="308"/>
        <v>1125899906842624</v>
      </c>
      <c r="I404">
        <f t="shared" si="312"/>
        <v>4123168604160</v>
      </c>
      <c r="J404">
        <f t="shared" si="319"/>
        <v>1.7293822569102705E+19</v>
      </c>
      <c r="K404">
        <f t="shared" si="320"/>
        <v>1024</v>
      </c>
      <c r="L404" s="1">
        <f t="shared" si="321"/>
        <v>0</v>
      </c>
      <c r="M404" s="1">
        <f t="shared" si="322"/>
        <v>6.6666666666666666E-2</v>
      </c>
      <c r="N404">
        <f t="shared" si="323"/>
        <v>4123168604160</v>
      </c>
      <c r="O404">
        <f t="shared" si="310"/>
        <v>562949953421312</v>
      </c>
      <c r="P404">
        <f t="shared" si="324"/>
        <v>0</v>
      </c>
      <c r="Q404">
        <f t="shared" si="325"/>
        <v>0</v>
      </c>
      <c r="S404">
        <f t="shared" si="326"/>
        <v>4194304</v>
      </c>
    </row>
    <row r="405" spans="2:19">
      <c r="B405">
        <f t="shared" si="327"/>
        <v>4194304</v>
      </c>
      <c r="D405">
        <f t="shared" si="315"/>
        <v>293203100740.26666</v>
      </c>
      <c r="E405" s="1">
        <f t="shared" si="316"/>
        <v>1</v>
      </c>
      <c r="F405">
        <f t="shared" si="317"/>
        <v>9.3109520094003528E-10</v>
      </c>
      <c r="G405">
        <f t="shared" si="313"/>
        <v>1.8014398509481984E+16</v>
      </c>
      <c r="H405">
        <f t="shared" si="308"/>
        <v>1125899906842624</v>
      </c>
      <c r="I405">
        <f t="shared" si="312"/>
        <v>4398046511104</v>
      </c>
      <c r="J405">
        <f t="shared" si="319"/>
        <v>1.8446744073709552E+19</v>
      </c>
      <c r="K405">
        <f t="shared" si="320"/>
        <v>1024</v>
      </c>
      <c r="L405" s="1">
        <f t="shared" si="321"/>
        <v>0</v>
      </c>
      <c r="M405" s="1">
        <f t="shared" si="322"/>
        <v>6.25E-2</v>
      </c>
      <c r="N405">
        <f t="shared" si="323"/>
        <v>4398046511104</v>
      </c>
      <c r="O405">
        <f t="shared" si="310"/>
        <v>1.8014398509481984E+16</v>
      </c>
      <c r="P405">
        <f t="shared" si="324"/>
        <v>0</v>
      </c>
      <c r="Q405">
        <f t="shared" si="325"/>
        <v>0</v>
      </c>
      <c r="S405">
        <f t="shared" si="326"/>
        <v>4194304</v>
      </c>
    </row>
    <row r="406" spans="2:19">
      <c r="B406">
        <f t="shared" si="327"/>
        <v>4194304</v>
      </c>
      <c r="D406">
        <f t="shared" si="315"/>
        <v>329853488332.79999</v>
      </c>
      <c r="E406" s="1">
        <f t="shared" si="316"/>
        <v>1</v>
      </c>
      <c r="F406">
        <f t="shared" si="317"/>
        <v>8.276401786133647E-10</v>
      </c>
      <c r="G406">
        <f t="shared" si="313"/>
        <v>2.0266198323167232E+16</v>
      </c>
      <c r="H406">
        <f t="shared" ref="H406" si="330">H398*2</f>
        <v>2251799813685248</v>
      </c>
      <c r="I406">
        <f t="shared" si="312"/>
        <v>4947802324992</v>
      </c>
      <c r="J406">
        <f t="shared" si="319"/>
        <v>2.0752587082923246E+19</v>
      </c>
      <c r="K406">
        <f t="shared" si="320"/>
        <v>1024</v>
      </c>
      <c r="L406" s="1">
        <f t="shared" si="321"/>
        <v>0</v>
      </c>
      <c r="M406" s="1">
        <f t="shared" si="322"/>
        <v>0.1111111111111111</v>
      </c>
      <c r="N406">
        <f t="shared" si="323"/>
        <v>4947802324992</v>
      </c>
      <c r="O406">
        <f t="shared" si="310"/>
        <v>1125899906842624</v>
      </c>
      <c r="P406">
        <f t="shared" si="324"/>
        <v>0</v>
      </c>
      <c r="Q406">
        <f t="shared" si="325"/>
        <v>0</v>
      </c>
      <c r="S406">
        <f t="shared" si="326"/>
        <v>4194304</v>
      </c>
    </row>
    <row r="407" spans="2:19">
      <c r="B407">
        <f t="shared" si="327"/>
        <v>4194304</v>
      </c>
      <c r="D407">
        <f t="shared" si="315"/>
        <v>366503875925.33331</v>
      </c>
      <c r="E407" s="1">
        <f t="shared" si="316"/>
        <v>1</v>
      </c>
      <c r="F407">
        <f t="shared" si="317"/>
        <v>7.4487616075202823E-10</v>
      </c>
      <c r="G407">
        <f t="shared" si="313"/>
        <v>2.251799813685248E+16</v>
      </c>
      <c r="H407">
        <f t="shared" si="308"/>
        <v>2251799813685248</v>
      </c>
      <c r="I407">
        <f t="shared" si="312"/>
        <v>5497558138880</v>
      </c>
      <c r="J407">
        <f t="shared" si="319"/>
        <v>2.305843009213694E+19</v>
      </c>
      <c r="K407">
        <f t="shared" si="320"/>
        <v>1024</v>
      </c>
      <c r="L407" s="1">
        <f t="shared" si="321"/>
        <v>0</v>
      </c>
      <c r="M407" s="1">
        <f t="shared" si="322"/>
        <v>0.1</v>
      </c>
      <c r="N407">
        <f t="shared" si="323"/>
        <v>5497558138880</v>
      </c>
      <c r="O407">
        <f t="shared" si="310"/>
        <v>2251799813685248</v>
      </c>
      <c r="P407">
        <f t="shared" si="324"/>
        <v>0</v>
      </c>
      <c r="Q407">
        <f t="shared" si="325"/>
        <v>0</v>
      </c>
      <c r="S407">
        <f t="shared" si="326"/>
        <v>4194304</v>
      </c>
    </row>
    <row r="408" spans="2:19">
      <c r="B408">
        <f t="shared" si="327"/>
        <v>4194304</v>
      </c>
      <c r="D408">
        <f t="shared" si="315"/>
        <v>403154263517.86664</v>
      </c>
      <c r="E408" s="1">
        <f t="shared" si="316"/>
        <v>1</v>
      </c>
      <c r="F408">
        <f t="shared" si="317"/>
        <v>6.7716014613820744E-10</v>
      </c>
      <c r="G408">
        <f t="shared" si="313"/>
        <v>2.4769797950537728E+16</v>
      </c>
      <c r="H408">
        <f t="shared" si="308"/>
        <v>2251799813685248</v>
      </c>
      <c r="I408">
        <f t="shared" si="312"/>
        <v>6047313952768</v>
      </c>
      <c r="J408">
        <f t="shared" si="319"/>
        <v>2.5364273101350633E+19</v>
      </c>
      <c r="K408">
        <f t="shared" si="320"/>
        <v>1024</v>
      </c>
      <c r="L408" s="1">
        <f t="shared" si="321"/>
        <v>0</v>
      </c>
      <c r="M408" s="1">
        <f t="shared" si="322"/>
        <v>9.0909090909090912E-2</v>
      </c>
      <c r="N408">
        <f t="shared" si="323"/>
        <v>6047313952768</v>
      </c>
      <c r="O408">
        <f t="shared" si="310"/>
        <v>1125899906842624</v>
      </c>
      <c r="P408">
        <f t="shared" si="324"/>
        <v>0</v>
      </c>
      <c r="Q408">
        <f t="shared" si="325"/>
        <v>0</v>
      </c>
      <c r="S408">
        <f t="shared" si="326"/>
        <v>4194304</v>
      </c>
    </row>
    <row r="409" spans="2:19">
      <c r="B409">
        <f t="shared" si="327"/>
        <v>4194304</v>
      </c>
      <c r="D409">
        <f t="shared" si="315"/>
        <v>439804651110.40002</v>
      </c>
      <c r="E409" s="1">
        <f t="shared" si="316"/>
        <v>1</v>
      </c>
      <c r="F409">
        <f t="shared" si="317"/>
        <v>6.2073013396002352E-10</v>
      </c>
      <c r="G409">
        <f t="shared" si="313"/>
        <v>2.7021597764222976E+16</v>
      </c>
      <c r="H409">
        <f t="shared" si="308"/>
        <v>2251799813685248</v>
      </c>
      <c r="I409">
        <f t="shared" si="312"/>
        <v>6597069766656</v>
      </c>
      <c r="J409">
        <f t="shared" si="319"/>
        <v>2.7670116110564327E+19</v>
      </c>
      <c r="K409">
        <f t="shared" si="320"/>
        <v>1024</v>
      </c>
      <c r="L409" s="1">
        <f t="shared" si="321"/>
        <v>0</v>
      </c>
      <c r="M409" s="1">
        <f t="shared" si="322"/>
        <v>8.3333333333333329E-2</v>
      </c>
      <c r="N409">
        <f t="shared" si="323"/>
        <v>6597069766656</v>
      </c>
      <c r="O409">
        <f t="shared" si="310"/>
        <v>4503599627370496</v>
      </c>
      <c r="P409">
        <f t="shared" si="324"/>
        <v>0</v>
      </c>
      <c r="Q409">
        <f t="shared" si="325"/>
        <v>0</v>
      </c>
      <c r="S409">
        <f t="shared" si="326"/>
        <v>4194304</v>
      </c>
    </row>
    <row r="410" spans="2:19">
      <c r="B410">
        <f t="shared" si="327"/>
        <v>4194304</v>
      </c>
      <c r="D410">
        <f t="shared" si="315"/>
        <v>476455038702.93335</v>
      </c>
      <c r="E410" s="1">
        <f t="shared" si="316"/>
        <v>1</v>
      </c>
      <c r="F410">
        <f t="shared" si="317"/>
        <v>5.7298166211694479E-10</v>
      </c>
      <c r="G410">
        <f t="shared" si="313"/>
        <v>2.9273397577908224E+16</v>
      </c>
      <c r="H410">
        <f t="shared" si="308"/>
        <v>2251799813685248</v>
      </c>
      <c r="I410">
        <f t="shared" si="312"/>
        <v>7146825580544</v>
      </c>
      <c r="J410">
        <f t="shared" si="319"/>
        <v>2.9975959119778021E+19</v>
      </c>
      <c r="K410">
        <f t="shared" si="320"/>
        <v>1024</v>
      </c>
      <c r="L410" s="1">
        <f t="shared" si="321"/>
        <v>0</v>
      </c>
      <c r="M410" s="1">
        <f t="shared" si="322"/>
        <v>7.6923076923076927E-2</v>
      </c>
      <c r="N410">
        <f t="shared" si="323"/>
        <v>7146825580544</v>
      </c>
      <c r="O410">
        <f t="shared" si="310"/>
        <v>1125899906842624</v>
      </c>
      <c r="P410">
        <f t="shared" si="324"/>
        <v>0</v>
      </c>
      <c r="Q410">
        <f t="shared" si="325"/>
        <v>0</v>
      </c>
      <c r="S410">
        <f t="shared" si="326"/>
        <v>4194304</v>
      </c>
    </row>
    <row r="411" spans="2:19">
      <c r="B411">
        <f t="shared" si="327"/>
        <v>4194304</v>
      </c>
      <c r="D411">
        <f t="shared" si="315"/>
        <v>513105426295.46667</v>
      </c>
      <c r="E411" s="1">
        <f t="shared" si="316"/>
        <v>1</v>
      </c>
      <c r="F411">
        <f t="shared" si="317"/>
        <v>5.3205440053716302E-10</v>
      </c>
      <c r="G411">
        <f t="shared" si="313"/>
        <v>3.1525197391593472E+16</v>
      </c>
      <c r="H411">
        <f t="shared" si="308"/>
        <v>2251799813685248</v>
      </c>
      <c r="I411">
        <f t="shared" si="312"/>
        <v>7696581394432</v>
      </c>
      <c r="J411">
        <f t="shared" si="319"/>
        <v>3.2281802128991715E+19</v>
      </c>
      <c r="K411">
        <f t="shared" si="320"/>
        <v>1024</v>
      </c>
      <c r="L411" s="1">
        <f t="shared" si="321"/>
        <v>0</v>
      </c>
      <c r="M411" s="1">
        <f t="shared" si="322"/>
        <v>7.1428571428571425E-2</v>
      </c>
      <c r="N411">
        <f t="shared" si="323"/>
        <v>7696581394432</v>
      </c>
      <c r="O411">
        <f t="shared" si="310"/>
        <v>2251799813685248</v>
      </c>
      <c r="P411">
        <f t="shared" si="324"/>
        <v>0</v>
      </c>
      <c r="Q411">
        <f t="shared" si="325"/>
        <v>0</v>
      </c>
      <c r="S411">
        <f t="shared" si="326"/>
        <v>4194304</v>
      </c>
    </row>
    <row r="412" spans="2:19">
      <c r="B412">
        <f t="shared" si="327"/>
        <v>4194304</v>
      </c>
      <c r="D412">
        <f t="shared" si="315"/>
        <v>549755813888</v>
      </c>
      <c r="E412" s="1">
        <f t="shared" si="316"/>
        <v>1</v>
      </c>
      <c r="F412">
        <f t="shared" si="317"/>
        <v>4.9658410716801882E-10</v>
      </c>
      <c r="G412">
        <f t="shared" si="313"/>
        <v>3.377699720527872E+16</v>
      </c>
      <c r="H412">
        <f t="shared" si="308"/>
        <v>2251799813685248</v>
      </c>
      <c r="I412">
        <f t="shared" si="312"/>
        <v>8246337208320</v>
      </c>
      <c r="J412">
        <f t="shared" si="319"/>
        <v>3.4587645138205409E+19</v>
      </c>
      <c r="K412">
        <f t="shared" si="320"/>
        <v>1024</v>
      </c>
      <c r="L412" s="1">
        <f t="shared" si="321"/>
        <v>0</v>
      </c>
      <c r="M412" s="1">
        <f t="shared" si="322"/>
        <v>6.6666666666666666E-2</v>
      </c>
      <c r="N412">
        <f t="shared" si="323"/>
        <v>8246337208320</v>
      </c>
      <c r="O412">
        <f t="shared" si="310"/>
        <v>1125899906842624</v>
      </c>
      <c r="P412">
        <f t="shared" si="324"/>
        <v>0</v>
      </c>
      <c r="Q412">
        <f t="shared" si="325"/>
        <v>0</v>
      </c>
      <c r="S412">
        <f t="shared" si="326"/>
        <v>4194304</v>
      </c>
    </row>
    <row r="413" spans="2:19">
      <c r="B413">
        <f t="shared" si="327"/>
        <v>4194304</v>
      </c>
      <c r="D413">
        <f t="shared" si="315"/>
        <v>586406201480.53333</v>
      </c>
      <c r="E413" s="1">
        <f t="shared" si="316"/>
        <v>1</v>
      </c>
      <c r="F413">
        <f t="shared" si="317"/>
        <v>4.6554760047001764E-10</v>
      </c>
      <c r="G413">
        <f t="shared" si="313"/>
        <v>3.6028797018963968E+16</v>
      </c>
      <c r="H413">
        <f t="shared" si="308"/>
        <v>2251799813685248</v>
      </c>
      <c r="I413">
        <f t="shared" si="312"/>
        <v>8796093022208</v>
      </c>
      <c r="J413">
        <f t="shared" si="319"/>
        <v>3.6893488147419103E+19</v>
      </c>
      <c r="K413">
        <f t="shared" si="320"/>
        <v>1024</v>
      </c>
      <c r="L413" s="1">
        <f t="shared" si="321"/>
        <v>0</v>
      </c>
      <c r="M413" s="1">
        <f t="shared" si="322"/>
        <v>6.25E-2</v>
      </c>
      <c r="N413">
        <f t="shared" si="323"/>
        <v>8796093022208</v>
      </c>
      <c r="O413">
        <f t="shared" si="310"/>
        <v>3.6028797018963968E+16</v>
      </c>
      <c r="P413">
        <f t="shared" si="324"/>
        <v>0</v>
      </c>
      <c r="Q413">
        <f t="shared" si="325"/>
        <v>0</v>
      </c>
      <c r="S413">
        <f t="shared" si="326"/>
        <v>4194304</v>
      </c>
    </row>
    <row r="414" spans="2:19">
      <c r="B414">
        <f t="shared" si="327"/>
        <v>4194304</v>
      </c>
      <c r="D414">
        <f t="shared" si="315"/>
        <v>659706976665.59998</v>
      </c>
      <c r="E414" s="1">
        <f t="shared" si="316"/>
        <v>1</v>
      </c>
      <c r="F414">
        <f t="shared" si="317"/>
        <v>4.1382008930668235E-10</v>
      </c>
      <c r="G414">
        <f t="shared" si="313"/>
        <v>4.0532396646334464E+16</v>
      </c>
      <c r="H414">
        <f t="shared" ref="H414" si="331">H406*2</f>
        <v>4503599627370496</v>
      </c>
      <c r="I414">
        <f t="shared" si="312"/>
        <v>9895604649984</v>
      </c>
      <c r="J414">
        <f t="shared" si="319"/>
        <v>4.1505174165846491E+19</v>
      </c>
      <c r="K414">
        <f t="shared" si="320"/>
        <v>1024</v>
      </c>
      <c r="L414" s="1">
        <f t="shared" si="321"/>
        <v>0</v>
      </c>
      <c r="M414" s="1">
        <f t="shared" si="322"/>
        <v>0.1111111111111111</v>
      </c>
      <c r="N414">
        <f t="shared" si="323"/>
        <v>9895604649984</v>
      </c>
      <c r="O414">
        <f t="shared" si="310"/>
        <v>2251799813685248</v>
      </c>
      <c r="P414">
        <f t="shared" si="324"/>
        <v>0</v>
      </c>
      <c r="Q414">
        <f t="shared" si="325"/>
        <v>0</v>
      </c>
      <c r="S414">
        <f t="shared" si="326"/>
        <v>4194304</v>
      </c>
    </row>
    <row r="415" spans="2:19">
      <c r="B415">
        <f t="shared" si="327"/>
        <v>4194304</v>
      </c>
      <c r="D415">
        <f t="shared" si="315"/>
        <v>733007751850.66663</v>
      </c>
      <c r="E415" s="1">
        <f t="shared" si="316"/>
        <v>1</v>
      </c>
      <c r="F415">
        <f t="shared" si="317"/>
        <v>3.7243808037601411E-10</v>
      </c>
      <c r="G415">
        <f t="shared" si="313"/>
        <v>4.503599627370496E+16</v>
      </c>
      <c r="H415">
        <f t="shared" ref="H415:H477" si="332">H414</f>
        <v>4503599627370496</v>
      </c>
      <c r="I415">
        <f t="shared" si="312"/>
        <v>10995116277760</v>
      </c>
      <c r="J415">
        <f t="shared" si="319"/>
        <v>4.6116860184273879E+19</v>
      </c>
      <c r="K415">
        <f t="shared" si="320"/>
        <v>1024</v>
      </c>
      <c r="L415" s="1">
        <f t="shared" si="321"/>
        <v>0</v>
      </c>
      <c r="M415" s="1">
        <f t="shared" si="322"/>
        <v>0.1</v>
      </c>
      <c r="N415">
        <f t="shared" si="323"/>
        <v>10995116277760</v>
      </c>
      <c r="O415">
        <f t="shared" si="310"/>
        <v>4503599627370496</v>
      </c>
      <c r="P415">
        <f t="shared" si="324"/>
        <v>0</v>
      </c>
      <c r="Q415">
        <f t="shared" si="325"/>
        <v>0</v>
      </c>
      <c r="S415">
        <f t="shared" si="326"/>
        <v>4194304</v>
      </c>
    </row>
    <row r="416" spans="2:19">
      <c r="B416">
        <f t="shared" si="327"/>
        <v>4194304</v>
      </c>
      <c r="D416">
        <f t="shared" si="315"/>
        <v>806308527035.73328</v>
      </c>
      <c r="E416" s="1">
        <f t="shared" si="316"/>
        <v>1</v>
      </c>
      <c r="F416">
        <f t="shared" si="317"/>
        <v>3.3858007306910372E-10</v>
      </c>
      <c r="G416">
        <f t="shared" si="313"/>
        <v>4.9539595901075456E+16</v>
      </c>
      <c r="H416">
        <f t="shared" si="332"/>
        <v>4503599627370496</v>
      </c>
      <c r="I416">
        <f t="shared" si="312"/>
        <v>12094627905536</v>
      </c>
      <c r="J416">
        <f t="shared" si="319"/>
        <v>5.0728546202701267E+19</v>
      </c>
      <c r="K416">
        <f t="shared" si="320"/>
        <v>1024</v>
      </c>
      <c r="L416" s="1">
        <f t="shared" si="321"/>
        <v>0</v>
      </c>
      <c r="M416" s="1">
        <f t="shared" si="322"/>
        <v>9.0909090909090912E-2</v>
      </c>
      <c r="N416">
        <f t="shared" si="323"/>
        <v>12094627905536</v>
      </c>
      <c r="O416">
        <f t="shared" si="310"/>
        <v>2251799813685248</v>
      </c>
      <c r="P416">
        <f t="shared" si="324"/>
        <v>0</v>
      </c>
      <c r="Q416">
        <f t="shared" si="325"/>
        <v>0</v>
      </c>
      <c r="S416">
        <f t="shared" si="326"/>
        <v>4194304</v>
      </c>
    </row>
    <row r="417" spans="2:19">
      <c r="B417">
        <f t="shared" si="327"/>
        <v>4194304</v>
      </c>
      <c r="D417">
        <f t="shared" si="315"/>
        <v>879609302220.80005</v>
      </c>
      <c r="E417" s="1">
        <f t="shared" si="316"/>
        <v>1</v>
      </c>
      <c r="F417">
        <f t="shared" si="317"/>
        <v>3.1036506698001176E-10</v>
      </c>
      <c r="G417">
        <f t="shared" si="313"/>
        <v>5.4043195528445952E+16</v>
      </c>
      <c r="H417">
        <f t="shared" si="332"/>
        <v>4503599627370496</v>
      </c>
      <c r="I417">
        <f t="shared" si="312"/>
        <v>13194139533312</v>
      </c>
      <c r="J417">
        <f t="shared" si="319"/>
        <v>5.5340232221128655E+19</v>
      </c>
      <c r="K417">
        <f t="shared" si="320"/>
        <v>1024</v>
      </c>
      <c r="L417" s="1">
        <f t="shared" si="321"/>
        <v>0</v>
      </c>
      <c r="M417" s="1">
        <f t="shared" si="322"/>
        <v>8.3333333333333329E-2</v>
      </c>
      <c r="N417">
        <f t="shared" si="323"/>
        <v>13194139533312</v>
      </c>
      <c r="O417">
        <f t="shared" si="310"/>
        <v>9007199254740992</v>
      </c>
      <c r="P417">
        <f t="shared" si="324"/>
        <v>0</v>
      </c>
      <c r="Q417">
        <f t="shared" si="325"/>
        <v>0</v>
      </c>
      <c r="S417">
        <f t="shared" si="326"/>
        <v>4194304</v>
      </c>
    </row>
    <row r="418" spans="2:19">
      <c r="B418">
        <f t="shared" si="327"/>
        <v>4194304</v>
      </c>
      <c r="D418">
        <f t="shared" si="315"/>
        <v>952910077405.8667</v>
      </c>
      <c r="E418" s="1">
        <f t="shared" si="316"/>
        <v>1</v>
      </c>
      <c r="F418">
        <f t="shared" si="317"/>
        <v>2.8649083105847239E-10</v>
      </c>
      <c r="G418">
        <f t="shared" si="313"/>
        <v>5.8546795155816448E+16</v>
      </c>
      <c r="H418">
        <f t="shared" si="332"/>
        <v>4503599627370496</v>
      </c>
      <c r="I418">
        <f t="shared" si="312"/>
        <v>14293651161088</v>
      </c>
      <c r="J418">
        <f t="shared" si="319"/>
        <v>5.9951918239556043E+19</v>
      </c>
      <c r="K418">
        <f t="shared" si="320"/>
        <v>1024</v>
      </c>
      <c r="L418" s="1">
        <f t="shared" si="321"/>
        <v>0</v>
      </c>
      <c r="M418" s="1">
        <f t="shared" si="322"/>
        <v>7.6923076923076927E-2</v>
      </c>
      <c r="N418">
        <f t="shared" si="323"/>
        <v>14293651161088</v>
      </c>
      <c r="O418">
        <f t="shared" si="310"/>
        <v>2251799813685248</v>
      </c>
      <c r="P418">
        <f t="shared" si="324"/>
        <v>0</v>
      </c>
      <c r="Q418">
        <f t="shared" si="325"/>
        <v>0</v>
      </c>
      <c r="S418">
        <f t="shared" si="326"/>
        <v>4194304</v>
      </c>
    </row>
    <row r="419" spans="2:19">
      <c r="B419">
        <f t="shared" si="327"/>
        <v>4194304</v>
      </c>
      <c r="D419">
        <f t="shared" si="315"/>
        <v>1026210852590.9333</v>
      </c>
      <c r="E419" s="1">
        <f t="shared" si="316"/>
        <v>1</v>
      </c>
      <c r="F419">
        <f t="shared" si="317"/>
        <v>2.6602720026858151E-10</v>
      </c>
      <c r="G419">
        <f t="shared" si="313"/>
        <v>6.3050394783186944E+16</v>
      </c>
      <c r="H419">
        <f t="shared" si="332"/>
        <v>4503599627370496</v>
      </c>
      <c r="I419">
        <f t="shared" si="312"/>
        <v>15393162788864</v>
      </c>
      <c r="J419">
        <f t="shared" si="319"/>
        <v>6.4563604257983431E+19</v>
      </c>
      <c r="K419">
        <f t="shared" si="320"/>
        <v>1024</v>
      </c>
      <c r="L419" s="1">
        <f t="shared" si="321"/>
        <v>0</v>
      </c>
      <c r="M419" s="1">
        <f t="shared" si="322"/>
        <v>7.1428571428571425E-2</v>
      </c>
      <c r="N419">
        <f t="shared" si="323"/>
        <v>15393162788864</v>
      </c>
      <c r="O419">
        <f t="shared" si="310"/>
        <v>4503599627370496</v>
      </c>
      <c r="P419">
        <f t="shared" si="324"/>
        <v>0</v>
      </c>
      <c r="Q419">
        <f t="shared" si="325"/>
        <v>0</v>
      </c>
      <c r="S419">
        <f t="shared" si="326"/>
        <v>4194304</v>
      </c>
    </row>
    <row r="420" spans="2:19">
      <c r="B420">
        <f t="shared" si="327"/>
        <v>4194304</v>
      </c>
      <c r="D420">
        <f t="shared" si="315"/>
        <v>1099511627776</v>
      </c>
      <c r="E420" s="1">
        <f t="shared" si="316"/>
        <v>1</v>
      </c>
      <c r="F420">
        <f t="shared" si="317"/>
        <v>2.4829205358400941E-10</v>
      </c>
      <c r="G420">
        <f t="shared" si="313"/>
        <v>6.755399441055744E+16</v>
      </c>
      <c r="H420">
        <f t="shared" si="332"/>
        <v>4503599627370496</v>
      </c>
      <c r="I420">
        <f t="shared" si="312"/>
        <v>16492674416640</v>
      </c>
      <c r="J420">
        <f t="shared" si="319"/>
        <v>6.9175290276410819E+19</v>
      </c>
      <c r="K420">
        <f t="shared" si="320"/>
        <v>1024</v>
      </c>
      <c r="L420" s="1">
        <f t="shared" si="321"/>
        <v>0</v>
      </c>
      <c r="M420" s="1">
        <f t="shared" si="322"/>
        <v>6.6666666666666666E-2</v>
      </c>
      <c r="N420">
        <f t="shared" si="323"/>
        <v>16492674416640</v>
      </c>
      <c r="O420">
        <f t="shared" si="310"/>
        <v>2251799813685248</v>
      </c>
      <c r="P420">
        <f t="shared" si="324"/>
        <v>0</v>
      </c>
      <c r="Q420">
        <f t="shared" si="325"/>
        <v>0</v>
      </c>
      <c r="S420">
        <f t="shared" si="326"/>
        <v>4194304</v>
      </c>
    </row>
    <row r="421" spans="2:19">
      <c r="B421">
        <f t="shared" si="327"/>
        <v>4194304</v>
      </c>
      <c r="D421">
        <f t="shared" si="315"/>
        <v>1172812402961.0667</v>
      </c>
      <c r="E421" s="1">
        <f t="shared" si="316"/>
        <v>1</v>
      </c>
      <c r="F421">
        <f t="shared" si="317"/>
        <v>2.3277380023500882E-10</v>
      </c>
      <c r="G421">
        <f t="shared" si="313"/>
        <v>7.2057594037927936E+16</v>
      </c>
      <c r="H421">
        <f t="shared" si="332"/>
        <v>4503599627370496</v>
      </c>
      <c r="I421">
        <f t="shared" si="312"/>
        <v>17592186044416</v>
      </c>
      <c r="J421">
        <f t="shared" si="319"/>
        <v>7.3786976294838206E+19</v>
      </c>
      <c r="K421">
        <f t="shared" si="320"/>
        <v>1024</v>
      </c>
      <c r="L421" s="1">
        <f t="shared" si="321"/>
        <v>0</v>
      </c>
      <c r="M421" s="1">
        <f t="shared" si="322"/>
        <v>6.25E-2</v>
      </c>
      <c r="N421">
        <f t="shared" si="323"/>
        <v>17592186044416</v>
      </c>
      <c r="O421">
        <f t="shared" si="310"/>
        <v>7.2057594037927936E+16</v>
      </c>
      <c r="P421">
        <f t="shared" si="324"/>
        <v>0</v>
      </c>
      <c r="Q421">
        <f t="shared" si="325"/>
        <v>0</v>
      </c>
      <c r="S421">
        <f t="shared" si="326"/>
        <v>4194304</v>
      </c>
    </row>
    <row r="422" spans="2:19">
      <c r="B422">
        <f t="shared" si="327"/>
        <v>4194304</v>
      </c>
      <c r="D422">
        <f t="shared" si="315"/>
        <v>1319413953331.2</v>
      </c>
      <c r="E422" s="1">
        <f t="shared" si="316"/>
        <v>1</v>
      </c>
      <c r="F422">
        <f t="shared" si="317"/>
        <v>2.0691004465334117E-10</v>
      </c>
      <c r="G422">
        <f t="shared" si="313"/>
        <v>8.1064793292668928E+16</v>
      </c>
      <c r="H422">
        <f t="shared" ref="H422" si="333">H414*2</f>
        <v>9007199254740992</v>
      </c>
      <c r="I422">
        <f t="shared" si="312"/>
        <v>19791209299968</v>
      </c>
      <c r="J422">
        <f t="shared" si="319"/>
        <v>8.3010348331692982E+19</v>
      </c>
      <c r="K422">
        <f t="shared" si="320"/>
        <v>1024</v>
      </c>
      <c r="L422" s="1">
        <f t="shared" si="321"/>
        <v>0</v>
      </c>
      <c r="M422" s="1">
        <f t="shared" si="322"/>
        <v>0.1111111111111111</v>
      </c>
      <c r="N422">
        <f t="shared" si="323"/>
        <v>19791209299968</v>
      </c>
      <c r="O422">
        <f t="shared" ref="O422:O485" si="334">O414*2</f>
        <v>4503599627370496</v>
      </c>
      <c r="P422">
        <f t="shared" si="324"/>
        <v>0</v>
      </c>
      <c r="Q422">
        <f t="shared" si="325"/>
        <v>0</v>
      </c>
      <c r="S422">
        <f t="shared" si="326"/>
        <v>4194304</v>
      </c>
    </row>
    <row r="423" spans="2:19">
      <c r="B423">
        <f t="shared" si="327"/>
        <v>4194304</v>
      </c>
      <c r="D423">
        <f t="shared" si="315"/>
        <v>1466015503701.3333</v>
      </c>
      <c r="E423" s="1">
        <f t="shared" si="316"/>
        <v>1</v>
      </c>
      <c r="F423">
        <f t="shared" si="317"/>
        <v>1.8621904018800706E-10</v>
      </c>
      <c r="G423">
        <f t="shared" si="313"/>
        <v>9.007199254740992E+16</v>
      </c>
      <c r="H423">
        <f t="shared" si="332"/>
        <v>9007199254740992</v>
      </c>
      <c r="I423">
        <f t="shared" si="312"/>
        <v>21990232555520</v>
      </c>
      <c r="J423">
        <f t="shared" si="319"/>
        <v>9.2233720368547758E+19</v>
      </c>
      <c r="K423">
        <f t="shared" si="320"/>
        <v>1024</v>
      </c>
      <c r="L423" s="1">
        <f t="shared" si="321"/>
        <v>0</v>
      </c>
      <c r="M423" s="1">
        <f t="shared" si="322"/>
        <v>0.1</v>
      </c>
      <c r="N423">
        <f t="shared" si="323"/>
        <v>21990232555520</v>
      </c>
      <c r="O423">
        <f t="shared" si="334"/>
        <v>9007199254740992</v>
      </c>
      <c r="P423">
        <f t="shared" si="324"/>
        <v>0</v>
      </c>
      <c r="Q423">
        <f t="shared" si="325"/>
        <v>0</v>
      </c>
      <c r="S423">
        <f t="shared" si="326"/>
        <v>4194304</v>
      </c>
    </row>
    <row r="424" spans="2:19">
      <c r="B424">
        <f t="shared" si="327"/>
        <v>4194304</v>
      </c>
      <c r="D424">
        <f t="shared" si="315"/>
        <v>1612617054071.4666</v>
      </c>
      <c r="E424" s="1">
        <f t="shared" si="316"/>
        <v>1</v>
      </c>
      <c r="F424">
        <f t="shared" si="317"/>
        <v>1.6929003653455186E-10</v>
      </c>
      <c r="G424">
        <f t="shared" si="313"/>
        <v>9.9079191802150912E+16</v>
      </c>
      <c r="H424">
        <f t="shared" si="332"/>
        <v>9007199254740992</v>
      </c>
      <c r="I424">
        <f t="shared" si="312"/>
        <v>24189255811072</v>
      </c>
      <c r="J424">
        <f t="shared" si="319"/>
        <v>1.0145709240540253E+20</v>
      </c>
      <c r="K424">
        <f t="shared" si="320"/>
        <v>1024</v>
      </c>
      <c r="L424" s="1">
        <f t="shared" si="321"/>
        <v>0</v>
      </c>
      <c r="M424" s="1">
        <f t="shared" si="322"/>
        <v>9.0909090909090912E-2</v>
      </c>
      <c r="N424">
        <f t="shared" si="323"/>
        <v>24189255811072</v>
      </c>
      <c r="O424">
        <f t="shared" si="334"/>
        <v>4503599627370496</v>
      </c>
      <c r="P424">
        <f t="shared" si="324"/>
        <v>0</v>
      </c>
      <c r="Q424">
        <f t="shared" si="325"/>
        <v>0</v>
      </c>
      <c r="S424">
        <f t="shared" si="326"/>
        <v>4194304</v>
      </c>
    </row>
    <row r="425" spans="2:19">
      <c r="B425">
        <f t="shared" si="327"/>
        <v>4194304</v>
      </c>
      <c r="D425">
        <f t="shared" si="315"/>
        <v>1759218604441.6001</v>
      </c>
      <c r="E425" s="1">
        <f t="shared" si="316"/>
        <v>1</v>
      </c>
      <c r="F425">
        <f t="shared" si="317"/>
        <v>1.5518253349000588E-10</v>
      </c>
      <c r="G425">
        <f t="shared" si="313"/>
        <v>1.080863910568919E+17</v>
      </c>
      <c r="H425">
        <f t="shared" si="332"/>
        <v>9007199254740992</v>
      </c>
      <c r="I425">
        <f t="shared" si="312"/>
        <v>26388279066624</v>
      </c>
      <c r="J425">
        <f t="shared" si="319"/>
        <v>1.1068046444225731E+20</v>
      </c>
      <c r="K425">
        <f t="shared" si="320"/>
        <v>1024</v>
      </c>
      <c r="L425" s="1">
        <f t="shared" si="321"/>
        <v>0</v>
      </c>
      <c r="M425" s="1">
        <f t="shared" si="322"/>
        <v>8.3333333333333329E-2</v>
      </c>
      <c r="N425">
        <f t="shared" si="323"/>
        <v>26388279066624</v>
      </c>
      <c r="O425">
        <f t="shared" si="334"/>
        <v>1.8014398509481984E+16</v>
      </c>
      <c r="P425">
        <f t="shared" si="324"/>
        <v>0</v>
      </c>
      <c r="Q425">
        <f t="shared" si="325"/>
        <v>0</v>
      </c>
      <c r="S425">
        <f t="shared" si="326"/>
        <v>4194304</v>
      </c>
    </row>
    <row r="426" spans="2:19">
      <c r="B426">
        <f t="shared" si="327"/>
        <v>4194304</v>
      </c>
      <c r="D426">
        <f t="shared" si="315"/>
        <v>1905820154811.7334</v>
      </c>
      <c r="E426" s="1">
        <f t="shared" si="316"/>
        <v>1</v>
      </c>
      <c r="F426">
        <f t="shared" si="317"/>
        <v>1.432454155292362E-10</v>
      </c>
      <c r="G426">
        <f t="shared" si="313"/>
        <v>1.170935903116329E+17</v>
      </c>
      <c r="H426">
        <f t="shared" si="332"/>
        <v>9007199254740992</v>
      </c>
      <c r="I426">
        <f t="shared" si="312"/>
        <v>28587302322176</v>
      </c>
      <c r="J426">
        <f t="shared" si="319"/>
        <v>1.1990383647911209E+20</v>
      </c>
      <c r="K426">
        <f t="shared" si="320"/>
        <v>1024</v>
      </c>
      <c r="L426" s="1">
        <f t="shared" si="321"/>
        <v>0</v>
      </c>
      <c r="M426" s="1">
        <f t="shared" si="322"/>
        <v>7.6923076923076927E-2</v>
      </c>
      <c r="N426">
        <f t="shared" si="323"/>
        <v>28587302322176</v>
      </c>
      <c r="O426">
        <f t="shared" si="334"/>
        <v>4503599627370496</v>
      </c>
      <c r="P426">
        <f t="shared" si="324"/>
        <v>0</v>
      </c>
      <c r="Q426">
        <f t="shared" si="325"/>
        <v>0</v>
      </c>
      <c r="S426">
        <f t="shared" si="326"/>
        <v>4194304</v>
      </c>
    </row>
    <row r="427" spans="2:19">
      <c r="B427">
        <f t="shared" si="327"/>
        <v>4194304</v>
      </c>
      <c r="D427">
        <f t="shared" si="315"/>
        <v>2052421705181.8667</v>
      </c>
      <c r="E427" s="1">
        <f t="shared" si="316"/>
        <v>1</v>
      </c>
      <c r="F427">
        <f t="shared" si="317"/>
        <v>1.3301360013429075E-10</v>
      </c>
      <c r="G427">
        <f t="shared" si="313"/>
        <v>1.2610078956637389E+17</v>
      </c>
      <c r="H427">
        <f t="shared" si="332"/>
        <v>9007199254740992</v>
      </c>
      <c r="I427">
        <f t="shared" si="312"/>
        <v>30786325577728</v>
      </c>
      <c r="J427">
        <f t="shared" si="319"/>
        <v>1.2912720851596686E+20</v>
      </c>
      <c r="K427">
        <f t="shared" si="320"/>
        <v>1024</v>
      </c>
      <c r="L427" s="1">
        <f t="shared" si="321"/>
        <v>0</v>
      </c>
      <c r="M427" s="1">
        <f t="shared" si="322"/>
        <v>7.1428571428571425E-2</v>
      </c>
      <c r="N427">
        <f t="shared" si="323"/>
        <v>30786325577728</v>
      </c>
      <c r="O427">
        <f t="shared" si="334"/>
        <v>9007199254740992</v>
      </c>
      <c r="P427">
        <f t="shared" si="324"/>
        <v>0</v>
      </c>
      <c r="Q427">
        <f t="shared" si="325"/>
        <v>0</v>
      </c>
      <c r="S427">
        <f t="shared" si="326"/>
        <v>4194304</v>
      </c>
    </row>
    <row r="428" spans="2:19">
      <c r="B428">
        <f t="shared" si="327"/>
        <v>4194304</v>
      </c>
      <c r="D428">
        <f t="shared" si="315"/>
        <v>2199023255552</v>
      </c>
      <c r="E428" s="1">
        <f t="shared" si="316"/>
        <v>1</v>
      </c>
      <c r="F428">
        <f t="shared" si="317"/>
        <v>1.241460267920047E-10</v>
      </c>
      <c r="G428">
        <f t="shared" si="313"/>
        <v>1.3510798882111488E+17</v>
      </c>
      <c r="H428">
        <f t="shared" si="332"/>
        <v>9007199254740992</v>
      </c>
      <c r="I428">
        <f t="shared" si="312"/>
        <v>32985348833280</v>
      </c>
      <c r="J428">
        <f t="shared" si="319"/>
        <v>1.3835058055282164E+20</v>
      </c>
      <c r="K428">
        <f t="shared" si="320"/>
        <v>1024</v>
      </c>
      <c r="L428" s="1">
        <f t="shared" si="321"/>
        <v>0</v>
      </c>
      <c r="M428" s="1">
        <f t="shared" si="322"/>
        <v>6.6666666666666666E-2</v>
      </c>
      <c r="N428">
        <f t="shared" si="323"/>
        <v>32985348833280</v>
      </c>
      <c r="O428">
        <f t="shared" si="334"/>
        <v>4503599627370496</v>
      </c>
      <c r="P428">
        <f t="shared" si="324"/>
        <v>0</v>
      </c>
      <c r="Q428">
        <f t="shared" si="325"/>
        <v>0</v>
      </c>
      <c r="S428">
        <f t="shared" si="326"/>
        <v>4194304</v>
      </c>
    </row>
    <row r="429" spans="2:19">
      <c r="B429">
        <f t="shared" si="327"/>
        <v>4194304</v>
      </c>
      <c r="D429">
        <f t="shared" si="315"/>
        <v>2345624805922.1333</v>
      </c>
      <c r="E429" s="1">
        <f t="shared" si="316"/>
        <v>1</v>
      </c>
      <c r="F429">
        <f t="shared" si="317"/>
        <v>1.1638690011750441E-10</v>
      </c>
      <c r="G429">
        <f t="shared" si="313"/>
        <v>1.4411518807585587E+17</v>
      </c>
      <c r="H429">
        <f t="shared" si="332"/>
        <v>9007199254740992</v>
      </c>
      <c r="I429">
        <f t="shared" si="312"/>
        <v>35184372088832</v>
      </c>
      <c r="J429">
        <f t="shared" si="319"/>
        <v>1.4757395258967641E+20</v>
      </c>
      <c r="K429">
        <f t="shared" si="320"/>
        <v>1024</v>
      </c>
      <c r="L429" s="1">
        <f t="shared" si="321"/>
        <v>0</v>
      </c>
      <c r="M429" s="1">
        <f t="shared" si="322"/>
        <v>6.25E-2</v>
      </c>
      <c r="N429">
        <f t="shared" si="323"/>
        <v>35184372088832</v>
      </c>
      <c r="O429">
        <f t="shared" si="334"/>
        <v>1.4411518807585587E+17</v>
      </c>
      <c r="P429">
        <f t="shared" si="324"/>
        <v>0</v>
      </c>
      <c r="Q429">
        <f t="shared" si="325"/>
        <v>0</v>
      </c>
      <c r="S429">
        <f t="shared" si="326"/>
        <v>4194304</v>
      </c>
    </row>
    <row r="430" spans="2:19">
      <c r="B430">
        <f t="shared" si="327"/>
        <v>4194304</v>
      </c>
      <c r="D430">
        <f t="shared" si="315"/>
        <v>2638827906662.3999</v>
      </c>
      <c r="E430" s="1">
        <f t="shared" si="316"/>
        <v>1</v>
      </c>
      <c r="F430">
        <f t="shared" si="317"/>
        <v>1.0345502232667059E-10</v>
      </c>
      <c r="G430">
        <f t="shared" si="313"/>
        <v>1.6212958658533786E+17</v>
      </c>
      <c r="H430">
        <f t="shared" ref="H430" si="335">H422*2</f>
        <v>1.8014398509481984E+16</v>
      </c>
      <c r="I430">
        <f t="shared" si="312"/>
        <v>39582418599936</v>
      </c>
      <c r="J430">
        <f t="shared" si="319"/>
        <v>1.6602069666338596E+20</v>
      </c>
      <c r="K430">
        <f t="shared" si="320"/>
        <v>1024</v>
      </c>
      <c r="L430" s="1">
        <f t="shared" si="321"/>
        <v>0</v>
      </c>
      <c r="M430" s="1">
        <f t="shared" si="322"/>
        <v>0.1111111111111111</v>
      </c>
      <c r="N430">
        <f t="shared" si="323"/>
        <v>39582418599936</v>
      </c>
      <c r="O430">
        <f t="shared" si="334"/>
        <v>9007199254740992</v>
      </c>
      <c r="P430">
        <f t="shared" si="324"/>
        <v>0</v>
      </c>
      <c r="Q430">
        <f t="shared" si="325"/>
        <v>0</v>
      </c>
      <c r="S430">
        <f t="shared" si="326"/>
        <v>4194304</v>
      </c>
    </row>
    <row r="431" spans="2:19">
      <c r="B431">
        <f t="shared" si="327"/>
        <v>4194304</v>
      </c>
      <c r="D431">
        <f t="shared" si="315"/>
        <v>2932031007402.6665</v>
      </c>
      <c r="E431" s="1">
        <f t="shared" si="316"/>
        <v>1</v>
      </c>
      <c r="F431">
        <f t="shared" si="317"/>
        <v>9.3109520094003528E-11</v>
      </c>
      <c r="G431">
        <f t="shared" si="313"/>
        <v>1.8014398509481984E+17</v>
      </c>
      <c r="H431">
        <f t="shared" si="332"/>
        <v>1.8014398509481984E+16</v>
      </c>
      <c r="I431">
        <f t="shared" ref="I431:I485" si="336">I423*2</f>
        <v>43980465111040</v>
      </c>
      <c r="J431">
        <f t="shared" si="319"/>
        <v>1.8446744073709552E+20</v>
      </c>
      <c r="K431">
        <f t="shared" si="320"/>
        <v>1024</v>
      </c>
      <c r="L431" s="1">
        <f t="shared" si="321"/>
        <v>0</v>
      </c>
      <c r="M431" s="1">
        <f t="shared" si="322"/>
        <v>0.1</v>
      </c>
      <c r="N431">
        <f t="shared" si="323"/>
        <v>43980465111040</v>
      </c>
      <c r="O431">
        <f t="shared" si="334"/>
        <v>1.8014398509481984E+16</v>
      </c>
      <c r="P431">
        <f t="shared" si="324"/>
        <v>0</v>
      </c>
      <c r="Q431">
        <f t="shared" si="325"/>
        <v>0</v>
      </c>
      <c r="S431">
        <f t="shared" si="326"/>
        <v>4194304</v>
      </c>
    </row>
    <row r="432" spans="2:19">
      <c r="B432">
        <f t="shared" si="327"/>
        <v>4194304</v>
      </c>
      <c r="D432">
        <f t="shared" si="315"/>
        <v>3225234108142.9331</v>
      </c>
      <c r="E432" s="1">
        <f t="shared" si="316"/>
        <v>1</v>
      </c>
      <c r="F432">
        <f t="shared" si="317"/>
        <v>8.464501826727593E-11</v>
      </c>
      <c r="G432">
        <f t="shared" si="313"/>
        <v>1.9815838360430182E+17</v>
      </c>
      <c r="H432">
        <f t="shared" si="332"/>
        <v>1.8014398509481984E+16</v>
      </c>
      <c r="I432">
        <f t="shared" si="336"/>
        <v>48378511622144</v>
      </c>
      <c r="J432">
        <f t="shared" si="319"/>
        <v>2.0291418481080507E+20</v>
      </c>
      <c r="K432">
        <f t="shared" si="320"/>
        <v>1024</v>
      </c>
      <c r="L432" s="1">
        <f t="shared" si="321"/>
        <v>0</v>
      </c>
      <c r="M432" s="1">
        <f t="shared" si="322"/>
        <v>9.0909090909090912E-2</v>
      </c>
      <c r="N432">
        <f t="shared" si="323"/>
        <v>48378511622144</v>
      </c>
      <c r="O432">
        <f t="shared" si="334"/>
        <v>9007199254740992</v>
      </c>
      <c r="P432">
        <f t="shared" si="324"/>
        <v>0</v>
      </c>
      <c r="Q432">
        <f t="shared" si="325"/>
        <v>0</v>
      </c>
      <c r="S432">
        <f t="shared" si="326"/>
        <v>4194304</v>
      </c>
    </row>
    <row r="433" spans="2:19">
      <c r="B433">
        <f t="shared" si="327"/>
        <v>4194304</v>
      </c>
      <c r="D433">
        <f t="shared" si="315"/>
        <v>3518437208883.2002</v>
      </c>
      <c r="E433" s="1">
        <f t="shared" si="316"/>
        <v>1</v>
      </c>
      <c r="F433">
        <f t="shared" si="317"/>
        <v>7.759126674500294E-11</v>
      </c>
      <c r="G433">
        <f t="shared" si="313"/>
        <v>2.1617278211378381E+17</v>
      </c>
      <c r="H433">
        <f t="shared" si="332"/>
        <v>1.8014398509481984E+16</v>
      </c>
      <c r="I433">
        <f t="shared" si="336"/>
        <v>52776558133248</v>
      </c>
      <c r="J433">
        <f t="shared" si="319"/>
        <v>2.2136092888451462E+20</v>
      </c>
      <c r="K433">
        <f t="shared" si="320"/>
        <v>1024</v>
      </c>
      <c r="L433" s="1">
        <f t="shared" si="321"/>
        <v>0</v>
      </c>
      <c r="M433" s="1">
        <f t="shared" si="322"/>
        <v>8.3333333333333329E-2</v>
      </c>
      <c r="N433">
        <f t="shared" si="323"/>
        <v>52776558133248</v>
      </c>
      <c r="O433">
        <f t="shared" si="334"/>
        <v>3.6028797018963968E+16</v>
      </c>
      <c r="P433">
        <f t="shared" si="324"/>
        <v>0</v>
      </c>
      <c r="Q433">
        <f t="shared" si="325"/>
        <v>0</v>
      </c>
      <c r="S433">
        <f t="shared" si="326"/>
        <v>4194304</v>
      </c>
    </row>
    <row r="434" spans="2:19">
      <c r="B434">
        <f t="shared" si="327"/>
        <v>4194304</v>
      </c>
      <c r="D434">
        <f t="shared" si="315"/>
        <v>3811640309623.4668</v>
      </c>
      <c r="E434" s="1">
        <f t="shared" si="316"/>
        <v>1</v>
      </c>
      <c r="F434">
        <f t="shared" si="317"/>
        <v>7.1622707764618099E-11</v>
      </c>
      <c r="G434">
        <f t="shared" si="313"/>
        <v>2.3418718062326579E+17</v>
      </c>
      <c r="H434">
        <f t="shared" si="332"/>
        <v>1.8014398509481984E+16</v>
      </c>
      <c r="I434">
        <f t="shared" si="336"/>
        <v>57174604644352</v>
      </c>
      <c r="J434">
        <f t="shared" si="319"/>
        <v>2.3980767295822417E+20</v>
      </c>
      <c r="K434">
        <f t="shared" si="320"/>
        <v>1024</v>
      </c>
      <c r="L434" s="1">
        <f t="shared" si="321"/>
        <v>0</v>
      </c>
      <c r="M434" s="1">
        <f t="shared" si="322"/>
        <v>7.6923076923076927E-2</v>
      </c>
      <c r="N434">
        <f t="shared" si="323"/>
        <v>57174604644352</v>
      </c>
      <c r="O434">
        <f t="shared" si="334"/>
        <v>9007199254740992</v>
      </c>
      <c r="P434">
        <f t="shared" si="324"/>
        <v>0</v>
      </c>
      <c r="Q434">
        <f t="shared" si="325"/>
        <v>0</v>
      </c>
      <c r="S434">
        <f t="shared" si="326"/>
        <v>4194304</v>
      </c>
    </row>
    <row r="435" spans="2:19">
      <c r="B435">
        <f t="shared" si="327"/>
        <v>4194304</v>
      </c>
      <c r="D435">
        <f t="shared" si="315"/>
        <v>4104843410363.7334</v>
      </c>
      <c r="E435" s="1">
        <f t="shared" si="316"/>
        <v>1</v>
      </c>
      <c r="F435">
        <f t="shared" si="317"/>
        <v>6.6506800067145377E-11</v>
      </c>
      <c r="G435">
        <f t="shared" si="313"/>
        <v>2.5220157913274778E+17</v>
      </c>
      <c r="H435">
        <f t="shared" si="332"/>
        <v>1.8014398509481984E+16</v>
      </c>
      <c r="I435">
        <f t="shared" si="336"/>
        <v>61572651155456</v>
      </c>
      <c r="J435">
        <f t="shared" si="319"/>
        <v>2.5825441703193372E+20</v>
      </c>
      <c r="K435">
        <f t="shared" si="320"/>
        <v>1024</v>
      </c>
      <c r="L435" s="1">
        <f t="shared" si="321"/>
        <v>0</v>
      </c>
      <c r="M435" s="1">
        <f t="shared" si="322"/>
        <v>7.1428571428571425E-2</v>
      </c>
      <c r="N435">
        <f t="shared" si="323"/>
        <v>61572651155456</v>
      </c>
      <c r="O435">
        <f t="shared" si="334"/>
        <v>1.8014398509481984E+16</v>
      </c>
      <c r="P435">
        <f t="shared" si="324"/>
        <v>0</v>
      </c>
      <c r="Q435">
        <f t="shared" si="325"/>
        <v>0</v>
      </c>
      <c r="S435">
        <f t="shared" si="326"/>
        <v>4194304</v>
      </c>
    </row>
    <row r="436" spans="2:19">
      <c r="B436">
        <f t="shared" si="327"/>
        <v>4194304</v>
      </c>
      <c r="D436">
        <f t="shared" si="315"/>
        <v>4398046511104</v>
      </c>
      <c r="E436" s="1">
        <f t="shared" si="316"/>
        <v>1</v>
      </c>
      <c r="F436">
        <f t="shared" si="317"/>
        <v>6.2073013396002352E-11</v>
      </c>
      <c r="G436">
        <f t="shared" si="313"/>
        <v>2.7021597764222976E+17</v>
      </c>
      <c r="H436">
        <f t="shared" si="332"/>
        <v>1.8014398509481984E+16</v>
      </c>
      <c r="I436">
        <f t="shared" si="336"/>
        <v>65970697666560</v>
      </c>
      <c r="J436">
        <f t="shared" si="319"/>
        <v>2.7670116110564327E+20</v>
      </c>
      <c r="K436">
        <f t="shared" si="320"/>
        <v>1024</v>
      </c>
      <c r="L436" s="1">
        <f t="shared" si="321"/>
        <v>0</v>
      </c>
      <c r="M436" s="1">
        <f t="shared" si="322"/>
        <v>6.6666666666666666E-2</v>
      </c>
      <c r="N436">
        <f t="shared" si="323"/>
        <v>65970697666560</v>
      </c>
      <c r="O436">
        <f t="shared" si="334"/>
        <v>9007199254740992</v>
      </c>
      <c r="P436">
        <f t="shared" si="324"/>
        <v>0</v>
      </c>
      <c r="Q436">
        <f t="shared" si="325"/>
        <v>0</v>
      </c>
      <c r="S436">
        <f t="shared" si="326"/>
        <v>4194304</v>
      </c>
    </row>
    <row r="437" spans="2:19">
      <c r="B437">
        <f t="shared" si="327"/>
        <v>4194304</v>
      </c>
      <c r="D437">
        <f t="shared" si="315"/>
        <v>4691249611844.2666</v>
      </c>
      <c r="E437" s="1">
        <f t="shared" si="316"/>
        <v>1</v>
      </c>
      <c r="F437">
        <f t="shared" si="317"/>
        <v>5.8193450058752205E-11</v>
      </c>
      <c r="G437">
        <f t="shared" si="313"/>
        <v>2.8823037615171174E+17</v>
      </c>
      <c r="H437">
        <f t="shared" si="332"/>
        <v>1.8014398509481984E+16</v>
      </c>
      <c r="I437">
        <f t="shared" si="336"/>
        <v>70368744177664</v>
      </c>
      <c r="J437">
        <f t="shared" si="319"/>
        <v>2.9514790517935283E+20</v>
      </c>
      <c r="K437">
        <f t="shared" si="320"/>
        <v>1024</v>
      </c>
      <c r="L437" s="1">
        <f t="shared" si="321"/>
        <v>0</v>
      </c>
      <c r="M437" s="1">
        <f t="shared" si="322"/>
        <v>6.25E-2</v>
      </c>
      <c r="N437">
        <f t="shared" si="323"/>
        <v>70368744177664</v>
      </c>
      <c r="O437">
        <f t="shared" si="334"/>
        <v>2.8823037615171174E+17</v>
      </c>
      <c r="P437">
        <f t="shared" si="324"/>
        <v>0</v>
      </c>
      <c r="Q437">
        <f t="shared" si="325"/>
        <v>0</v>
      </c>
      <c r="S437">
        <f t="shared" si="326"/>
        <v>4194304</v>
      </c>
    </row>
    <row r="438" spans="2:19">
      <c r="B438">
        <f t="shared" si="327"/>
        <v>4194304</v>
      </c>
      <c r="D438">
        <f t="shared" si="315"/>
        <v>5277655813324.7998</v>
      </c>
      <c r="E438" s="1">
        <f t="shared" si="316"/>
        <v>1</v>
      </c>
      <c r="F438">
        <f t="shared" si="317"/>
        <v>5.1727511163335294E-11</v>
      </c>
      <c r="G438">
        <f t="shared" ref="G438:G485" si="337">G437+H438</f>
        <v>3.2425917317067571E+17</v>
      </c>
      <c r="H438">
        <f t="shared" ref="H438" si="338">H430*2</f>
        <v>3.6028797018963968E+16</v>
      </c>
      <c r="I438">
        <f t="shared" si="336"/>
        <v>79164837199872</v>
      </c>
      <c r="J438">
        <f t="shared" si="319"/>
        <v>3.3204139332677193E+20</v>
      </c>
      <c r="K438">
        <f t="shared" si="320"/>
        <v>1024</v>
      </c>
      <c r="L438" s="1">
        <f t="shared" si="321"/>
        <v>0</v>
      </c>
      <c r="M438" s="1">
        <f t="shared" si="322"/>
        <v>0.1111111111111111</v>
      </c>
      <c r="N438">
        <f t="shared" si="323"/>
        <v>79164837199872</v>
      </c>
      <c r="O438">
        <f t="shared" si="334"/>
        <v>1.8014398509481984E+16</v>
      </c>
      <c r="P438">
        <f t="shared" si="324"/>
        <v>0</v>
      </c>
      <c r="Q438">
        <f t="shared" si="325"/>
        <v>0</v>
      </c>
      <c r="S438">
        <f t="shared" si="326"/>
        <v>4194304</v>
      </c>
    </row>
    <row r="439" spans="2:19">
      <c r="B439">
        <f t="shared" si="327"/>
        <v>4194304</v>
      </c>
      <c r="D439">
        <f t="shared" si="315"/>
        <v>5864062014805.333</v>
      </c>
      <c r="E439" s="1">
        <f t="shared" si="316"/>
        <v>1</v>
      </c>
      <c r="F439">
        <f t="shared" si="317"/>
        <v>4.6554760047001764E-11</v>
      </c>
      <c r="G439">
        <f t="shared" si="337"/>
        <v>3.6028797018963968E+17</v>
      </c>
      <c r="H439">
        <f t="shared" si="332"/>
        <v>3.6028797018963968E+16</v>
      </c>
      <c r="I439">
        <f t="shared" si="336"/>
        <v>87960930222080</v>
      </c>
      <c r="J439">
        <f t="shared" si="319"/>
        <v>3.6893488147419103E+20</v>
      </c>
      <c r="K439">
        <f t="shared" si="320"/>
        <v>1024</v>
      </c>
      <c r="L439" s="1">
        <f t="shared" si="321"/>
        <v>0</v>
      </c>
      <c r="M439" s="1">
        <f t="shared" si="322"/>
        <v>0.1</v>
      </c>
      <c r="N439">
        <f t="shared" si="323"/>
        <v>87960930222080</v>
      </c>
      <c r="O439">
        <f t="shared" si="334"/>
        <v>3.6028797018963968E+16</v>
      </c>
      <c r="P439">
        <f t="shared" si="324"/>
        <v>0</v>
      </c>
      <c r="Q439">
        <f t="shared" si="325"/>
        <v>0</v>
      </c>
      <c r="S439">
        <f t="shared" si="326"/>
        <v>4194304</v>
      </c>
    </row>
    <row r="440" spans="2:19">
      <c r="B440">
        <f t="shared" si="327"/>
        <v>4194304</v>
      </c>
      <c r="D440">
        <f t="shared" si="315"/>
        <v>6450468216285.8662</v>
      </c>
      <c r="E440" s="1">
        <f t="shared" si="316"/>
        <v>1</v>
      </c>
      <c r="F440">
        <f t="shared" si="317"/>
        <v>4.2322509133637965E-11</v>
      </c>
      <c r="G440">
        <f t="shared" si="337"/>
        <v>3.9631676720860365E+17</v>
      </c>
      <c r="H440">
        <f t="shared" si="332"/>
        <v>3.6028797018963968E+16</v>
      </c>
      <c r="I440">
        <f t="shared" si="336"/>
        <v>96757023244288</v>
      </c>
      <c r="J440">
        <f t="shared" si="319"/>
        <v>4.0582836962161014E+20</v>
      </c>
      <c r="K440">
        <f t="shared" si="320"/>
        <v>1024</v>
      </c>
      <c r="L440" s="1">
        <f t="shared" si="321"/>
        <v>0</v>
      </c>
      <c r="M440" s="1">
        <f t="shared" si="322"/>
        <v>9.0909090909090912E-2</v>
      </c>
      <c r="N440">
        <f t="shared" si="323"/>
        <v>96757023244288</v>
      </c>
      <c r="O440">
        <f t="shared" si="334"/>
        <v>1.8014398509481984E+16</v>
      </c>
      <c r="P440">
        <f t="shared" si="324"/>
        <v>0</v>
      </c>
      <c r="Q440">
        <f t="shared" si="325"/>
        <v>0</v>
      </c>
      <c r="S440">
        <f t="shared" si="326"/>
        <v>4194304</v>
      </c>
    </row>
    <row r="441" spans="2:19">
      <c r="B441">
        <f t="shared" si="327"/>
        <v>4194304</v>
      </c>
      <c r="D441">
        <f t="shared" si="315"/>
        <v>7036874417766.4004</v>
      </c>
      <c r="E441" s="1">
        <f t="shared" si="316"/>
        <v>1</v>
      </c>
      <c r="F441">
        <f t="shared" si="317"/>
        <v>3.879563337250147E-11</v>
      </c>
      <c r="G441">
        <f t="shared" si="337"/>
        <v>4.3234556422756762E+17</v>
      </c>
      <c r="H441">
        <f t="shared" si="332"/>
        <v>3.6028797018963968E+16</v>
      </c>
      <c r="I441">
        <f t="shared" si="336"/>
        <v>105553116266496</v>
      </c>
      <c r="J441">
        <f t="shared" si="319"/>
        <v>4.4272185776902924E+20</v>
      </c>
      <c r="K441">
        <f t="shared" si="320"/>
        <v>1024</v>
      </c>
      <c r="L441" s="1">
        <f t="shared" si="321"/>
        <v>0</v>
      </c>
      <c r="M441" s="1">
        <f t="shared" si="322"/>
        <v>8.3333333333333329E-2</v>
      </c>
      <c r="N441">
        <f t="shared" si="323"/>
        <v>105553116266496</v>
      </c>
      <c r="O441">
        <f t="shared" si="334"/>
        <v>7.2057594037927936E+16</v>
      </c>
      <c r="P441">
        <f t="shared" si="324"/>
        <v>0</v>
      </c>
      <c r="Q441">
        <f t="shared" si="325"/>
        <v>0</v>
      </c>
      <c r="S441">
        <f t="shared" si="326"/>
        <v>4194304</v>
      </c>
    </row>
    <row r="442" spans="2:19">
      <c r="B442">
        <f t="shared" si="327"/>
        <v>4194304</v>
      </c>
      <c r="D442">
        <f t="shared" si="315"/>
        <v>7623280619246.9336</v>
      </c>
      <c r="E442" s="1">
        <f t="shared" si="316"/>
        <v>1</v>
      </c>
      <c r="F442">
        <f t="shared" si="317"/>
        <v>3.5811353882309049E-11</v>
      </c>
      <c r="G442">
        <f t="shared" si="337"/>
        <v>4.6837436124653158E+17</v>
      </c>
      <c r="H442">
        <f t="shared" si="332"/>
        <v>3.6028797018963968E+16</v>
      </c>
      <c r="I442">
        <f t="shared" si="336"/>
        <v>114349209288704</v>
      </c>
      <c r="J442">
        <f t="shared" si="319"/>
        <v>4.7961534591644834E+20</v>
      </c>
      <c r="K442">
        <f t="shared" si="320"/>
        <v>1024</v>
      </c>
      <c r="L442" s="1">
        <f t="shared" si="321"/>
        <v>0</v>
      </c>
      <c r="M442" s="1">
        <f t="shared" si="322"/>
        <v>7.6923076923076927E-2</v>
      </c>
      <c r="N442">
        <f t="shared" si="323"/>
        <v>114349209288704</v>
      </c>
      <c r="O442">
        <f t="shared" si="334"/>
        <v>1.8014398509481984E+16</v>
      </c>
      <c r="P442">
        <f t="shared" si="324"/>
        <v>0</v>
      </c>
      <c r="Q442">
        <f t="shared" si="325"/>
        <v>0</v>
      </c>
      <c r="S442">
        <f t="shared" si="326"/>
        <v>4194304</v>
      </c>
    </row>
    <row r="443" spans="2:19">
      <c r="B443">
        <f t="shared" si="327"/>
        <v>4194304</v>
      </c>
      <c r="D443">
        <f t="shared" si="315"/>
        <v>8209686820727.4668</v>
      </c>
      <c r="E443" s="1">
        <f t="shared" si="316"/>
        <v>1</v>
      </c>
      <c r="F443">
        <f t="shared" si="317"/>
        <v>3.3253400033572689E-11</v>
      </c>
      <c r="G443">
        <f t="shared" si="337"/>
        <v>5.0440315826549555E+17</v>
      </c>
      <c r="H443">
        <f t="shared" si="332"/>
        <v>3.6028797018963968E+16</v>
      </c>
      <c r="I443">
        <f t="shared" si="336"/>
        <v>123145302310912</v>
      </c>
      <c r="J443">
        <f t="shared" si="319"/>
        <v>5.1650883406386745E+20</v>
      </c>
      <c r="K443">
        <f t="shared" si="320"/>
        <v>1024</v>
      </c>
      <c r="L443" s="1">
        <f t="shared" si="321"/>
        <v>0</v>
      </c>
      <c r="M443" s="1">
        <f t="shared" si="322"/>
        <v>7.1428571428571425E-2</v>
      </c>
      <c r="N443">
        <f t="shared" si="323"/>
        <v>123145302310912</v>
      </c>
      <c r="O443">
        <f t="shared" si="334"/>
        <v>3.6028797018963968E+16</v>
      </c>
      <c r="P443">
        <f t="shared" si="324"/>
        <v>0</v>
      </c>
      <c r="Q443">
        <f t="shared" si="325"/>
        <v>0</v>
      </c>
      <c r="S443">
        <f t="shared" si="326"/>
        <v>4194304</v>
      </c>
    </row>
    <row r="444" spans="2:19">
      <c r="B444">
        <f t="shared" si="327"/>
        <v>4194304</v>
      </c>
      <c r="D444">
        <f t="shared" si="315"/>
        <v>8796093022208</v>
      </c>
      <c r="E444" s="1">
        <f t="shared" si="316"/>
        <v>1</v>
      </c>
      <c r="F444">
        <f t="shared" si="317"/>
        <v>3.1036506698001176E-11</v>
      </c>
      <c r="G444">
        <f t="shared" si="337"/>
        <v>5.4043195528445952E+17</v>
      </c>
      <c r="H444">
        <f t="shared" si="332"/>
        <v>3.6028797018963968E+16</v>
      </c>
      <c r="I444">
        <f t="shared" si="336"/>
        <v>131941395333120</v>
      </c>
      <c r="J444">
        <f t="shared" si="319"/>
        <v>5.5340232221128655E+20</v>
      </c>
      <c r="K444">
        <f t="shared" si="320"/>
        <v>1024</v>
      </c>
      <c r="L444" s="1">
        <f t="shared" si="321"/>
        <v>0</v>
      </c>
      <c r="M444" s="1">
        <f t="shared" si="322"/>
        <v>6.6666666666666666E-2</v>
      </c>
      <c r="N444">
        <f t="shared" si="323"/>
        <v>131941395333120</v>
      </c>
      <c r="O444">
        <f t="shared" si="334"/>
        <v>1.8014398509481984E+16</v>
      </c>
      <c r="P444">
        <f t="shared" si="324"/>
        <v>0</v>
      </c>
      <c r="Q444">
        <f t="shared" si="325"/>
        <v>0</v>
      </c>
      <c r="S444">
        <f t="shared" si="326"/>
        <v>4194304</v>
      </c>
    </row>
    <row r="445" spans="2:19">
      <c r="B445">
        <f t="shared" si="327"/>
        <v>4194304</v>
      </c>
      <c r="D445">
        <f t="shared" ref="D445:D485" si="339">I445/15</f>
        <v>9382499223688.5332</v>
      </c>
      <c r="E445" s="1">
        <f t="shared" ref="E445:E485" si="340">(F445 - FLOOR(F445,1))/F445</f>
        <v>1</v>
      </c>
      <c r="F445">
        <f t="shared" ref="F445:F485" si="341">$E$22/I445</f>
        <v>2.9096725029376103E-11</v>
      </c>
      <c r="G445">
        <f t="shared" si="337"/>
        <v>5.7646075230342349E+17</v>
      </c>
      <c r="H445">
        <f t="shared" si="332"/>
        <v>3.6028797018963968E+16</v>
      </c>
      <c r="I445">
        <f t="shared" si="336"/>
        <v>140737488355328</v>
      </c>
      <c r="J445">
        <f t="shared" si="319"/>
        <v>5.9029581035870565E+20</v>
      </c>
      <c r="K445">
        <f t="shared" si="320"/>
        <v>1024</v>
      </c>
      <c r="L445" s="1">
        <f t="shared" si="321"/>
        <v>0</v>
      </c>
      <c r="M445" s="1">
        <f t="shared" si="322"/>
        <v>6.25E-2</v>
      </c>
      <c r="N445">
        <f t="shared" si="323"/>
        <v>140737488355328</v>
      </c>
      <c r="O445">
        <f t="shared" si="334"/>
        <v>5.7646075230342349E+17</v>
      </c>
      <c r="P445">
        <f t="shared" si="324"/>
        <v>0</v>
      </c>
      <c r="Q445">
        <f t="shared" si="325"/>
        <v>0</v>
      </c>
      <c r="S445">
        <f t="shared" si="326"/>
        <v>4194304</v>
      </c>
    </row>
    <row r="446" spans="2:19">
      <c r="B446">
        <f t="shared" si="327"/>
        <v>4194304</v>
      </c>
      <c r="D446">
        <f t="shared" si="339"/>
        <v>10555311626649.6</v>
      </c>
      <c r="E446" s="1">
        <f t="shared" si="340"/>
        <v>1</v>
      </c>
      <c r="F446">
        <f t="shared" si="341"/>
        <v>2.5863755581667647E-11</v>
      </c>
      <c r="G446">
        <f t="shared" si="337"/>
        <v>6.4851834634135142E+17</v>
      </c>
      <c r="H446">
        <f t="shared" ref="H446" si="342">H438*2</f>
        <v>7.2057594037927936E+16</v>
      </c>
      <c r="I446">
        <f t="shared" si="336"/>
        <v>158329674399744</v>
      </c>
      <c r="J446">
        <f t="shared" ref="J446:J485" si="343">B446*I446</f>
        <v>6.6408278665354386E+20</v>
      </c>
      <c r="K446">
        <f t="shared" ref="K446:K485" si="344">FLOOR(J446/G446,1)</f>
        <v>1024</v>
      </c>
      <c r="L446" s="1">
        <f t="shared" ref="L446:L485" si="345">(J446-K446*G446)/J446</f>
        <v>0</v>
      </c>
      <c r="M446" s="1">
        <f t="shared" ref="M446:M485" si="346">(G446-(G445+1))/(G446)</f>
        <v>0.1111111111111111</v>
      </c>
      <c r="N446">
        <f t="shared" ref="N446:N485" si="347">J446/B446</f>
        <v>158329674399744</v>
      </c>
      <c r="O446">
        <f t="shared" si="334"/>
        <v>3.6028797018963968E+16</v>
      </c>
      <c r="P446">
        <f t="shared" ref="P446:P485" si="348">J446-G446*K446</f>
        <v>0</v>
      </c>
      <c r="Q446">
        <f t="shared" ref="Q446:Q485" si="349">P446/I446</f>
        <v>0</v>
      </c>
      <c r="S446">
        <f t="shared" ref="S446:S485" si="350">FLOOR((G446 + (B446-1))/B446, 1)*B446 - G446</f>
        <v>4194304</v>
      </c>
    </row>
    <row r="447" spans="2:19">
      <c r="B447">
        <f t="shared" ref="B447:B484" si="351">B446</f>
        <v>4194304</v>
      </c>
      <c r="D447">
        <f t="shared" si="339"/>
        <v>11728124029610.666</v>
      </c>
      <c r="E447" s="1">
        <f t="shared" si="340"/>
        <v>1</v>
      </c>
      <c r="F447">
        <f t="shared" si="341"/>
        <v>2.3277380023500882E-11</v>
      </c>
      <c r="G447">
        <f t="shared" si="337"/>
        <v>7.2057594037927936E+17</v>
      </c>
      <c r="H447">
        <f t="shared" si="332"/>
        <v>7.2057594037927936E+16</v>
      </c>
      <c r="I447">
        <f t="shared" si="336"/>
        <v>175921860444160</v>
      </c>
      <c r="J447">
        <f t="shared" si="343"/>
        <v>7.3786976294838206E+20</v>
      </c>
      <c r="K447">
        <f t="shared" si="344"/>
        <v>1024</v>
      </c>
      <c r="L447" s="1">
        <f t="shared" si="345"/>
        <v>0</v>
      </c>
      <c r="M447" s="1">
        <f t="shared" si="346"/>
        <v>0.1</v>
      </c>
      <c r="N447">
        <f t="shared" si="347"/>
        <v>175921860444160</v>
      </c>
      <c r="O447">
        <f t="shared" si="334"/>
        <v>7.2057594037927936E+16</v>
      </c>
      <c r="P447">
        <f t="shared" si="348"/>
        <v>0</v>
      </c>
      <c r="Q447">
        <f t="shared" si="349"/>
        <v>0</v>
      </c>
      <c r="S447">
        <f t="shared" si="350"/>
        <v>4194304</v>
      </c>
    </row>
    <row r="448" spans="2:19">
      <c r="B448">
        <f t="shared" si="351"/>
        <v>4194304</v>
      </c>
      <c r="D448">
        <f t="shared" si="339"/>
        <v>12900936432571.732</v>
      </c>
      <c r="E448" s="1">
        <f t="shared" si="340"/>
        <v>1</v>
      </c>
      <c r="F448">
        <f t="shared" si="341"/>
        <v>2.1161254566818983E-11</v>
      </c>
      <c r="G448">
        <f t="shared" si="337"/>
        <v>7.926335344172073E+17</v>
      </c>
      <c r="H448">
        <f t="shared" si="332"/>
        <v>7.2057594037927936E+16</v>
      </c>
      <c r="I448">
        <f t="shared" si="336"/>
        <v>193514046488576</v>
      </c>
      <c r="J448">
        <f t="shared" si="343"/>
        <v>8.1165673924322027E+20</v>
      </c>
      <c r="K448">
        <f t="shared" si="344"/>
        <v>1024</v>
      </c>
      <c r="L448" s="1">
        <f t="shared" si="345"/>
        <v>0</v>
      </c>
      <c r="M448" s="1">
        <f t="shared" si="346"/>
        <v>9.0909090909090912E-2</v>
      </c>
      <c r="N448">
        <f t="shared" si="347"/>
        <v>193514046488576</v>
      </c>
      <c r="O448">
        <f t="shared" si="334"/>
        <v>3.6028797018963968E+16</v>
      </c>
      <c r="P448">
        <f t="shared" si="348"/>
        <v>0</v>
      </c>
      <c r="Q448">
        <f t="shared" si="349"/>
        <v>0</v>
      </c>
      <c r="S448">
        <f t="shared" si="350"/>
        <v>4194304</v>
      </c>
    </row>
    <row r="449" spans="2:19">
      <c r="B449">
        <f t="shared" si="351"/>
        <v>4194304</v>
      </c>
      <c r="D449">
        <f t="shared" si="339"/>
        <v>14073748835532.801</v>
      </c>
      <c r="E449" s="1">
        <f t="shared" si="340"/>
        <v>1</v>
      </c>
      <c r="F449">
        <f t="shared" si="341"/>
        <v>1.9397816686250735E-11</v>
      </c>
      <c r="G449">
        <f t="shared" si="337"/>
        <v>8.6469112845513523E+17</v>
      </c>
      <c r="H449">
        <f t="shared" si="332"/>
        <v>7.2057594037927936E+16</v>
      </c>
      <c r="I449">
        <f t="shared" si="336"/>
        <v>211106232532992</v>
      </c>
      <c r="J449">
        <f t="shared" si="343"/>
        <v>8.8544371553805848E+20</v>
      </c>
      <c r="K449">
        <f t="shared" si="344"/>
        <v>1024</v>
      </c>
      <c r="L449" s="1">
        <f t="shared" si="345"/>
        <v>0</v>
      </c>
      <c r="M449" s="1">
        <f t="shared" si="346"/>
        <v>8.3333333333333329E-2</v>
      </c>
      <c r="N449">
        <f t="shared" si="347"/>
        <v>211106232532992</v>
      </c>
      <c r="O449">
        <f t="shared" si="334"/>
        <v>1.4411518807585587E+17</v>
      </c>
      <c r="P449">
        <f t="shared" si="348"/>
        <v>0</v>
      </c>
      <c r="Q449">
        <f t="shared" si="349"/>
        <v>0</v>
      </c>
      <c r="S449">
        <f t="shared" si="350"/>
        <v>4194304</v>
      </c>
    </row>
    <row r="450" spans="2:19">
      <c r="B450">
        <f t="shared" si="351"/>
        <v>4194304</v>
      </c>
      <c r="D450">
        <f t="shared" si="339"/>
        <v>15246561238493.867</v>
      </c>
      <c r="E450" s="1">
        <f t="shared" si="340"/>
        <v>1</v>
      </c>
      <c r="F450">
        <f t="shared" si="341"/>
        <v>1.7905676941154525E-11</v>
      </c>
      <c r="G450">
        <f t="shared" si="337"/>
        <v>9.3674872249306317E+17</v>
      </c>
      <c r="H450">
        <f t="shared" si="332"/>
        <v>7.2057594037927936E+16</v>
      </c>
      <c r="I450">
        <f t="shared" si="336"/>
        <v>228698418577408</v>
      </c>
      <c r="J450">
        <f t="shared" si="343"/>
        <v>9.5923069183289668E+20</v>
      </c>
      <c r="K450">
        <f t="shared" si="344"/>
        <v>1024</v>
      </c>
      <c r="L450" s="1">
        <f t="shared" si="345"/>
        <v>0</v>
      </c>
      <c r="M450" s="1">
        <f t="shared" si="346"/>
        <v>7.6923076923076927E-2</v>
      </c>
      <c r="N450">
        <f t="shared" si="347"/>
        <v>228698418577408</v>
      </c>
      <c r="O450">
        <f t="shared" si="334"/>
        <v>3.6028797018963968E+16</v>
      </c>
      <c r="P450">
        <f t="shared" si="348"/>
        <v>0</v>
      </c>
      <c r="Q450">
        <f t="shared" si="349"/>
        <v>0</v>
      </c>
      <c r="S450">
        <f t="shared" si="350"/>
        <v>4194304</v>
      </c>
    </row>
    <row r="451" spans="2:19">
      <c r="B451">
        <f t="shared" si="351"/>
        <v>4194304</v>
      </c>
      <c r="D451">
        <f t="shared" si="339"/>
        <v>16419373641454.934</v>
      </c>
      <c r="E451" s="1">
        <f t="shared" si="340"/>
        <v>1</v>
      </c>
      <c r="F451">
        <f t="shared" si="341"/>
        <v>1.6626700016786344E-11</v>
      </c>
      <c r="G451">
        <f t="shared" si="337"/>
        <v>1.0088063165309911E+18</v>
      </c>
      <c r="H451">
        <f t="shared" si="332"/>
        <v>7.2057594037927936E+16</v>
      </c>
      <c r="I451">
        <f t="shared" si="336"/>
        <v>246290604621824</v>
      </c>
      <c r="J451">
        <f t="shared" si="343"/>
        <v>1.0330176681277349E+21</v>
      </c>
      <c r="K451">
        <f t="shared" si="344"/>
        <v>1024</v>
      </c>
      <c r="L451" s="1">
        <f t="shared" si="345"/>
        <v>0</v>
      </c>
      <c r="M451" s="1">
        <f t="shared" si="346"/>
        <v>7.1428571428571425E-2</v>
      </c>
      <c r="N451">
        <f t="shared" si="347"/>
        <v>246290604621824</v>
      </c>
      <c r="O451">
        <f t="shared" si="334"/>
        <v>7.2057594037927936E+16</v>
      </c>
      <c r="P451">
        <f t="shared" si="348"/>
        <v>0</v>
      </c>
      <c r="Q451">
        <f t="shared" si="349"/>
        <v>0</v>
      </c>
      <c r="S451">
        <f t="shared" si="350"/>
        <v>4194304</v>
      </c>
    </row>
    <row r="452" spans="2:19">
      <c r="B452">
        <f t="shared" si="351"/>
        <v>4194304</v>
      </c>
      <c r="D452">
        <f t="shared" si="339"/>
        <v>17592186044416</v>
      </c>
      <c r="E452" s="1">
        <f t="shared" si="340"/>
        <v>1</v>
      </c>
      <c r="F452">
        <f t="shared" si="341"/>
        <v>1.5518253349000588E-11</v>
      </c>
      <c r="G452">
        <f t="shared" si="337"/>
        <v>1.080863910568919E+18</v>
      </c>
      <c r="H452">
        <f t="shared" si="332"/>
        <v>7.2057594037927936E+16</v>
      </c>
      <c r="I452">
        <f t="shared" si="336"/>
        <v>263882790666240</v>
      </c>
      <c r="J452">
        <f t="shared" si="343"/>
        <v>1.1068046444225731E+21</v>
      </c>
      <c r="K452">
        <f t="shared" si="344"/>
        <v>1024</v>
      </c>
      <c r="L452" s="1">
        <f t="shared" si="345"/>
        <v>0</v>
      </c>
      <c r="M452" s="1">
        <f t="shared" si="346"/>
        <v>6.6666666666666666E-2</v>
      </c>
      <c r="N452">
        <f t="shared" si="347"/>
        <v>263882790666240</v>
      </c>
      <c r="O452">
        <f t="shared" si="334"/>
        <v>3.6028797018963968E+16</v>
      </c>
      <c r="P452">
        <f t="shared" si="348"/>
        <v>0</v>
      </c>
      <c r="Q452">
        <f t="shared" si="349"/>
        <v>0</v>
      </c>
      <c r="S452">
        <f t="shared" si="350"/>
        <v>4194304</v>
      </c>
    </row>
    <row r="453" spans="2:19">
      <c r="B453">
        <f t="shared" si="351"/>
        <v>4194304</v>
      </c>
      <c r="D453">
        <f t="shared" si="339"/>
        <v>18764998447377.066</v>
      </c>
      <c r="E453" s="1">
        <f t="shared" si="340"/>
        <v>1</v>
      </c>
      <c r="F453">
        <f t="shared" si="341"/>
        <v>1.4548362514688051E-11</v>
      </c>
      <c r="G453">
        <f t="shared" si="337"/>
        <v>1.152921504606847E+18</v>
      </c>
      <c r="H453">
        <f t="shared" si="332"/>
        <v>7.2057594037927936E+16</v>
      </c>
      <c r="I453">
        <f t="shared" si="336"/>
        <v>281474976710656</v>
      </c>
      <c r="J453">
        <f t="shared" si="343"/>
        <v>1.1805916207174113E+21</v>
      </c>
      <c r="K453">
        <f t="shared" si="344"/>
        <v>1024</v>
      </c>
      <c r="L453" s="1">
        <f t="shared" si="345"/>
        <v>0</v>
      </c>
      <c r="M453" s="1">
        <f t="shared" si="346"/>
        <v>6.25E-2</v>
      </c>
      <c r="N453">
        <f t="shared" si="347"/>
        <v>281474976710656</v>
      </c>
      <c r="O453">
        <f t="shared" si="334"/>
        <v>1.152921504606847E+18</v>
      </c>
      <c r="P453">
        <f t="shared" si="348"/>
        <v>0</v>
      </c>
      <c r="Q453">
        <f t="shared" si="349"/>
        <v>0</v>
      </c>
      <c r="S453">
        <f t="shared" si="350"/>
        <v>4194304</v>
      </c>
    </row>
    <row r="454" spans="2:19">
      <c r="B454">
        <f t="shared" si="351"/>
        <v>4194304</v>
      </c>
      <c r="D454">
        <f t="shared" si="339"/>
        <v>21110623253299.199</v>
      </c>
      <c r="E454" s="1">
        <f t="shared" si="340"/>
        <v>1</v>
      </c>
      <c r="F454">
        <f t="shared" si="341"/>
        <v>1.2931877790833823E-11</v>
      </c>
      <c r="G454">
        <f t="shared" si="337"/>
        <v>1.2970366926827028E+18</v>
      </c>
      <c r="H454">
        <f t="shared" ref="H454" si="352">H446*2</f>
        <v>1.4411518807585587E+17</v>
      </c>
      <c r="I454">
        <f t="shared" si="336"/>
        <v>316659348799488</v>
      </c>
      <c r="J454">
        <f t="shared" si="343"/>
        <v>1.3281655733070877E+21</v>
      </c>
      <c r="K454">
        <f t="shared" si="344"/>
        <v>1024</v>
      </c>
      <c r="L454" s="1">
        <f t="shared" si="345"/>
        <v>0</v>
      </c>
      <c r="M454" s="1">
        <f t="shared" si="346"/>
        <v>0.1111111111111111</v>
      </c>
      <c r="N454">
        <f t="shared" si="347"/>
        <v>316659348799488</v>
      </c>
      <c r="O454">
        <f t="shared" si="334"/>
        <v>7.2057594037927936E+16</v>
      </c>
      <c r="P454">
        <f t="shared" si="348"/>
        <v>0</v>
      </c>
      <c r="Q454">
        <f t="shared" si="349"/>
        <v>0</v>
      </c>
      <c r="S454">
        <f t="shared" si="350"/>
        <v>4194304</v>
      </c>
    </row>
    <row r="455" spans="2:19">
      <c r="B455">
        <f t="shared" si="351"/>
        <v>4194304</v>
      </c>
      <c r="D455">
        <f t="shared" si="339"/>
        <v>23456248059221.332</v>
      </c>
      <c r="E455" s="1">
        <f t="shared" si="340"/>
        <v>1</v>
      </c>
      <c r="F455">
        <f t="shared" si="341"/>
        <v>1.1638690011750441E-11</v>
      </c>
      <c r="G455">
        <f t="shared" si="337"/>
        <v>1.4411518807585587E+18</v>
      </c>
      <c r="H455">
        <f t="shared" si="332"/>
        <v>1.4411518807585587E+17</v>
      </c>
      <c r="I455">
        <f t="shared" si="336"/>
        <v>351843720888320</v>
      </c>
      <c r="J455">
        <f t="shared" si="343"/>
        <v>1.4757395258967641E+21</v>
      </c>
      <c r="K455">
        <f t="shared" si="344"/>
        <v>1024</v>
      </c>
      <c r="L455" s="1">
        <f t="shared" si="345"/>
        <v>0</v>
      </c>
      <c r="M455" s="1">
        <f t="shared" si="346"/>
        <v>0.1</v>
      </c>
      <c r="N455">
        <f t="shared" si="347"/>
        <v>351843720888320</v>
      </c>
      <c r="O455">
        <f t="shared" si="334"/>
        <v>1.4411518807585587E+17</v>
      </c>
      <c r="P455">
        <f t="shared" si="348"/>
        <v>0</v>
      </c>
      <c r="Q455">
        <f t="shared" si="349"/>
        <v>0</v>
      </c>
      <c r="S455">
        <f t="shared" si="350"/>
        <v>4194304</v>
      </c>
    </row>
    <row r="456" spans="2:19">
      <c r="B456">
        <f t="shared" si="351"/>
        <v>4194304</v>
      </c>
      <c r="D456">
        <f t="shared" si="339"/>
        <v>25801872865143.465</v>
      </c>
      <c r="E456" s="1">
        <f t="shared" si="340"/>
        <v>1</v>
      </c>
      <c r="F456">
        <f t="shared" si="341"/>
        <v>1.0580627283409491E-11</v>
      </c>
      <c r="G456">
        <f t="shared" si="337"/>
        <v>1.5852670688344146E+18</v>
      </c>
      <c r="H456">
        <f t="shared" si="332"/>
        <v>1.4411518807585587E+17</v>
      </c>
      <c r="I456">
        <f t="shared" si="336"/>
        <v>387028092977152</v>
      </c>
      <c r="J456">
        <f t="shared" si="343"/>
        <v>1.6233134784864405E+21</v>
      </c>
      <c r="K456">
        <f t="shared" si="344"/>
        <v>1024</v>
      </c>
      <c r="L456" s="1">
        <f t="shared" si="345"/>
        <v>0</v>
      </c>
      <c r="M456" s="1">
        <f t="shared" si="346"/>
        <v>9.0909090909090912E-2</v>
      </c>
      <c r="N456">
        <f t="shared" si="347"/>
        <v>387028092977152</v>
      </c>
      <c r="O456">
        <f t="shared" si="334"/>
        <v>7.2057594037927936E+16</v>
      </c>
      <c r="P456">
        <f t="shared" si="348"/>
        <v>0</v>
      </c>
      <c r="Q456">
        <f t="shared" si="349"/>
        <v>0</v>
      </c>
      <c r="S456">
        <f t="shared" si="350"/>
        <v>4194304</v>
      </c>
    </row>
    <row r="457" spans="2:19">
      <c r="B457">
        <f t="shared" si="351"/>
        <v>4194304</v>
      </c>
      <c r="D457">
        <f t="shared" si="339"/>
        <v>28147497671065.602</v>
      </c>
      <c r="E457" s="1">
        <f t="shared" si="340"/>
        <v>1</v>
      </c>
      <c r="F457">
        <f t="shared" si="341"/>
        <v>9.6989083431253675E-12</v>
      </c>
      <c r="G457">
        <f t="shared" si="337"/>
        <v>1.7293822569102705E+18</v>
      </c>
      <c r="H457">
        <f t="shared" si="332"/>
        <v>1.4411518807585587E+17</v>
      </c>
      <c r="I457">
        <f t="shared" si="336"/>
        <v>422212465065984</v>
      </c>
      <c r="J457">
        <f t="shared" si="343"/>
        <v>1.770887431076117E+21</v>
      </c>
      <c r="K457">
        <f t="shared" si="344"/>
        <v>1024</v>
      </c>
      <c r="L457" s="1">
        <f t="shared" si="345"/>
        <v>0</v>
      </c>
      <c r="M457" s="1">
        <f t="shared" si="346"/>
        <v>8.3333333333333329E-2</v>
      </c>
      <c r="N457">
        <f t="shared" si="347"/>
        <v>422212465065984</v>
      </c>
      <c r="O457">
        <f t="shared" si="334"/>
        <v>2.8823037615171174E+17</v>
      </c>
      <c r="P457">
        <f t="shared" si="348"/>
        <v>0</v>
      </c>
      <c r="Q457">
        <f t="shared" si="349"/>
        <v>0</v>
      </c>
      <c r="S457">
        <f t="shared" si="350"/>
        <v>4194304</v>
      </c>
    </row>
    <row r="458" spans="2:19">
      <c r="B458">
        <f t="shared" si="351"/>
        <v>4194304</v>
      </c>
      <c r="D458">
        <f t="shared" si="339"/>
        <v>30493122476987.734</v>
      </c>
      <c r="E458" s="1">
        <f t="shared" si="340"/>
        <v>1</v>
      </c>
      <c r="F458">
        <f t="shared" si="341"/>
        <v>8.9528384705772623E-12</v>
      </c>
      <c r="G458">
        <f t="shared" si="337"/>
        <v>1.8734974449861263E+18</v>
      </c>
      <c r="H458">
        <f t="shared" si="332"/>
        <v>1.4411518807585587E+17</v>
      </c>
      <c r="I458">
        <f t="shared" si="336"/>
        <v>457396837154816</v>
      </c>
      <c r="J458">
        <f t="shared" si="343"/>
        <v>1.9184613836657934E+21</v>
      </c>
      <c r="K458">
        <f t="shared" si="344"/>
        <v>1024</v>
      </c>
      <c r="L458" s="1">
        <f t="shared" si="345"/>
        <v>0</v>
      </c>
      <c r="M458" s="1">
        <f t="shared" si="346"/>
        <v>7.6923076923076927E-2</v>
      </c>
      <c r="N458">
        <f t="shared" si="347"/>
        <v>457396837154816</v>
      </c>
      <c r="O458">
        <f t="shared" si="334"/>
        <v>7.2057594037927936E+16</v>
      </c>
      <c r="P458">
        <f t="shared" si="348"/>
        <v>0</v>
      </c>
      <c r="Q458">
        <f t="shared" si="349"/>
        <v>0</v>
      </c>
      <c r="S458">
        <f t="shared" si="350"/>
        <v>4194304</v>
      </c>
    </row>
    <row r="459" spans="2:19">
      <c r="B459">
        <f t="shared" si="351"/>
        <v>4194304</v>
      </c>
      <c r="D459">
        <f t="shared" si="339"/>
        <v>32838747282909.867</v>
      </c>
      <c r="E459" s="1">
        <f t="shared" si="340"/>
        <v>1</v>
      </c>
      <c r="F459">
        <f t="shared" si="341"/>
        <v>8.3133500083931722E-12</v>
      </c>
      <c r="G459">
        <f t="shared" si="337"/>
        <v>2.0176126330619822E+18</v>
      </c>
      <c r="H459">
        <f t="shared" si="332"/>
        <v>1.4411518807585587E+17</v>
      </c>
      <c r="I459">
        <f t="shared" si="336"/>
        <v>492581209243648</v>
      </c>
      <c r="J459">
        <f t="shared" si="343"/>
        <v>2.0660353362554698E+21</v>
      </c>
      <c r="K459">
        <f t="shared" si="344"/>
        <v>1024</v>
      </c>
      <c r="L459" s="1">
        <f t="shared" si="345"/>
        <v>0</v>
      </c>
      <c r="M459" s="1">
        <f t="shared" si="346"/>
        <v>7.1428571428571425E-2</v>
      </c>
      <c r="N459">
        <f t="shared" si="347"/>
        <v>492581209243648</v>
      </c>
      <c r="O459">
        <f t="shared" si="334"/>
        <v>1.4411518807585587E+17</v>
      </c>
      <c r="P459">
        <f t="shared" si="348"/>
        <v>0</v>
      </c>
      <c r="Q459">
        <f t="shared" si="349"/>
        <v>0</v>
      </c>
      <c r="S459">
        <f t="shared" si="350"/>
        <v>4194304</v>
      </c>
    </row>
    <row r="460" spans="2:19">
      <c r="B460">
        <f t="shared" si="351"/>
        <v>4194304</v>
      </c>
      <c r="D460">
        <f t="shared" si="339"/>
        <v>35184372088832</v>
      </c>
      <c r="E460" s="1">
        <f t="shared" si="340"/>
        <v>1</v>
      </c>
      <c r="F460">
        <f t="shared" si="341"/>
        <v>7.759126674500294E-12</v>
      </c>
      <c r="G460">
        <f t="shared" si="337"/>
        <v>2.1617278211378381E+18</v>
      </c>
      <c r="H460">
        <f t="shared" si="332"/>
        <v>1.4411518807585587E+17</v>
      </c>
      <c r="I460">
        <f t="shared" si="336"/>
        <v>527765581332480</v>
      </c>
      <c r="J460">
        <f t="shared" si="343"/>
        <v>2.2136092888451462E+21</v>
      </c>
      <c r="K460">
        <f t="shared" si="344"/>
        <v>1024</v>
      </c>
      <c r="L460" s="1">
        <f t="shared" si="345"/>
        <v>0</v>
      </c>
      <c r="M460" s="1">
        <f t="shared" si="346"/>
        <v>6.6666666666666666E-2</v>
      </c>
      <c r="N460">
        <f t="shared" si="347"/>
        <v>527765581332480</v>
      </c>
      <c r="O460">
        <f t="shared" si="334"/>
        <v>7.2057594037927936E+16</v>
      </c>
      <c r="P460">
        <f t="shared" si="348"/>
        <v>0</v>
      </c>
      <c r="Q460">
        <f t="shared" si="349"/>
        <v>0</v>
      </c>
      <c r="S460">
        <f t="shared" si="350"/>
        <v>4194304</v>
      </c>
    </row>
    <row r="461" spans="2:19">
      <c r="B461">
        <f t="shared" si="351"/>
        <v>4194304</v>
      </c>
      <c r="D461">
        <f t="shared" si="339"/>
        <v>37529996894754.133</v>
      </c>
      <c r="E461" s="1">
        <f t="shared" si="340"/>
        <v>1</v>
      </c>
      <c r="F461">
        <f t="shared" si="341"/>
        <v>7.2741812573440257E-12</v>
      </c>
      <c r="G461">
        <f t="shared" si="337"/>
        <v>2.305843009213694E+18</v>
      </c>
      <c r="H461">
        <f t="shared" si="332"/>
        <v>1.4411518807585587E+17</v>
      </c>
      <c r="I461">
        <f t="shared" si="336"/>
        <v>562949953421312</v>
      </c>
      <c r="J461">
        <f t="shared" si="343"/>
        <v>2.3611832414348226E+21</v>
      </c>
      <c r="K461">
        <f t="shared" si="344"/>
        <v>1024</v>
      </c>
      <c r="L461" s="1">
        <f t="shared" si="345"/>
        <v>0</v>
      </c>
      <c r="M461" s="1">
        <f t="shared" si="346"/>
        <v>6.25E-2</v>
      </c>
      <c r="N461">
        <f t="shared" si="347"/>
        <v>562949953421312</v>
      </c>
      <c r="O461">
        <f t="shared" si="334"/>
        <v>2.305843009213694E+18</v>
      </c>
      <c r="P461">
        <f t="shared" si="348"/>
        <v>0</v>
      </c>
      <c r="Q461">
        <f t="shared" si="349"/>
        <v>0</v>
      </c>
      <c r="S461">
        <f t="shared" si="350"/>
        <v>4194304</v>
      </c>
    </row>
    <row r="462" spans="2:19">
      <c r="B462">
        <f t="shared" si="351"/>
        <v>4194304</v>
      </c>
      <c r="D462">
        <f t="shared" si="339"/>
        <v>42221246506598.398</v>
      </c>
      <c r="E462" s="1">
        <f t="shared" si="340"/>
        <v>1</v>
      </c>
      <c r="F462">
        <f t="shared" si="341"/>
        <v>6.4659388954169117E-12</v>
      </c>
      <c r="G462">
        <f t="shared" si="337"/>
        <v>2.5940733853654057E+18</v>
      </c>
      <c r="H462">
        <f t="shared" ref="H462" si="353">H454*2</f>
        <v>2.8823037615171174E+17</v>
      </c>
      <c r="I462">
        <f t="shared" si="336"/>
        <v>633318697598976</v>
      </c>
      <c r="J462">
        <f t="shared" si="343"/>
        <v>2.6563311466141754E+21</v>
      </c>
      <c r="K462">
        <f t="shared" si="344"/>
        <v>1024</v>
      </c>
      <c r="L462" s="1">
        <f t="shared" si="345"/>
        <v>0</v>
      </c>
      <c r="M462" s="1">
        <f t="shared" si="346"/>
        <v>0.1111111111111111</v>
      </c>
      <c r="N462">
        <f t="shared" si="347"/>
        <v>633318697598976</v>
      </c>
      <c r="O462">
        <f t="shared" si="334"/>
        <v>1.4411518807585587E+17</v>
      </c>
      <c r="P462">
        <f t="shared" si="348"/>
        <v>0</v>
      </c>
      <c r="Q462">
        <f t="shared" si="349"/>
        <v>0</v>
      </c>
      <c r="S462">
        <f t="shared" si="350"/>
        <v>4194304</v>
      </c>
    </row>
    <row r="463" spans="2:19">
      <c r="B463">
        <f t="shared" si="351"/>
        <v>4194304</v>
      </c>
      <c r="D463">
        <f t="shared" si="339"/>
        <v>46912496118442.664</v>
      </c>
      <c r="E463" s="1">
        <f t="shared" si="340"/>
        <v>1</v>
      </c>
      <c r="F463">
        <f t="shared" si="341"/>
        <v>5.8193450058752205E-12</v>
      </c>
      <c r="G463">
        <f t="shared" si="337"/>
        <v>2.8823037615171174E+18</v>
      </c>
      <c r="H463">
        <f t="shared" si="332"/>
        <v>2.8823037615171174E+17</v>
      </c>
      <c r="I463">
        <f t="shared" si="336"/>
        <v>703687441776640</v>
      </c>
      <c r="J463">
        <f t="shared" si="343"/>
        <v>2.9514790517935283E+21</v>
      </c>
      <c r="K463">
        <f t="shared" si="344"/>
        <v>1024</v>
      </c>
      <c r="L463" s="1">
        <f t="shared" si="345"/>
        <v>0</v>
      </c>
      <c r="M463" s="1">
        <f t="shared" si="346"/>
        <v>0.1</v>
      </c>
      <c r="N463">
        <f t="shared" si="347"/>
        <v>703687441776640</v>
      </c>
      <c r="O463">
        <f t="shared" si="334"/>
        <v>2.8823037615171174E+17</v>
      </c>
      <c r="P463">
        <f t="shared" si="348"/>
        <v>0</v>
      </c>
      <c r="Q463">
        <f t="shared" si="349"/>
        <v>0</v>
      </c>
      <c r="S463">
        <f t="shared" si="350"/>
        <v>4194304</v>
      </c>
    </row>
    <row r="464" spans="2:19">
      <c r="B464">
        <f t="shared" si="351"/>
        <v>4194304</v>
      </c>
      <c r="D464">
        <f t="shared" si="339"/>
        <v>51603745730286.93</v>
      </c>
      <c r="E464" s="1">
        <f t="shared" si="340"/>
        <v>1</v>
      </c>
      <c r="F464">
        <f t="shared" si="341"/>
        <v>5.2903136417047456E-12</v>
      </c>
      <c r="G464">
        <f t="shared" si="337"/>
        <v>3.1705341376688292E+18</v>
      </c>
      <c r="H464">
        <f t="shared" si="332"/>
        <v>2.8823037615171174E+17</v>
      </c>
      <c r="I464">
        <f t="shared" si="336"/>
        <v>774056185954304</v>
      </c>
      <c r="J464">
        <f t="shared" si="343"/>
        <v>3.2466269569728811E+21</v>
      </c>
      <c r="K464">
        <f t="shared" si="344"/>
        <v>1024</v>
      </c>
      <c r="L464" s="1">
        <f t="shared" si="345"/>
        <v>0</v>
      </c>
      <c r="M464" s="1">
        <f t="shared" si="346"/>
        <v>9.0909090909090912E-2</v>
      </c>
      <c r="N464">
        <f t="shared" si="347"/>
        <v>774056185954304</v>
      </c>
      <c r="O464">
        <f t="shared" si="334"/>
        <v>1.4411518807585587E+17</v>
      </c>
      <c r="P464">
        <f t="shared" si="348"/>
        <v>0</v>
      </c>
      <c r="Q464">
        <f t="shared" si="349"/>
        <v>0</v>
      </c>
      <c r="S464">
        <f t="shared" si="350"/>
        <v>4194304</v>
      </c>
    </row>
    <row r="465" spans="2:19">
      <c r="B465">
        <f t="shared" si="351"/>
        <v>4194304</v>
      </c>
      <c r="D465">
        <f t="shared" si="339"/>
        <v>56294995342131.203</v>
      </c>
      <c r="E465" s="1">
        <f t="shared" si="340"/>
        <v>1</v>
      </c>
      <c r="F465">
        <f t="shared" si="341"/>
        <v>4.8494541715626838E-12</v>
      </c>
      <c r="G465">
        <f t="shared" si="337"/>
        <v>3.4587645138205409E+18</v>
      </c>
      <c r="H465">
        <f t="shared" si="332"/>
        <v>2.8823037615171174E+17</v>
      </c>
      <c r="I465">
        <f t="shared" si="336"/>
        <v>844424930131968</v>
      </c>
      <c r="J465">
        <f t="shared" si="343"/>
        <v>3.5417748621522339E+21</v>
      </c>
      <c r="K465">
        <f t="shared" si="344"/>
        <v>1024</v>
      </c>
      <c r="L465" s="1">
        <f t="shared" si="345"/>
        <v>0</v>
      </c>
      <c r="M465" s="1">
        <f t="shared" si="346"/>
        <v>8.3333333333333329E-2</v>
      </c>
      <c r="N465">
        <f t="shared" si="347"/>
        <v>844424930131968</v>
      </c>
      <c r="O465">
        <f t="shared" si="334"/>
        <v>5.7646075230342349E+17</v>
      </c>
      <c r="P465">
        <f t="shared" si="348"/>
        <v>0</v>
      </c>
      <c r="Q465">
        <f t="shared" si="349"/>
        <v>0</v>
      </c>
      <c r="S465">
        <f t="shared" si="350"/>
        <v>4194304</v>
      </c>
    </row>
    <row r="466" spans="2:19">
      <c r="B466">
        <f t="shared" si="351"/>
        <v>4194304</v>
      </c>
      <c r="D466">
        <f t="shared" si="339"/>
        <v>60986244953975.469</v>
      </c>
      <c r="E466" s="1">
        <f t="shared" si="340"/>
        <v>1</v>
      </c>
      <c r="F466">
        <f t="shared" si="341"/>
        <v>4.4764192352886312E-12</v>
      </c>
      <c r="G466">
        <f t="shared" si="337"/>
        <v>3.7469948899722527E+18</v>
      </c>
      <c r="H466">
        <f t="shared" si="332"/>
        <v>2.8823037615171174E+17</v>
      </c>
      <c r="I466">
        <f t="shared" si="336"/>
        <v>914793674309632</v>
      </c>
      <c r="J466">
        <f t="shared" si="343"/>
        <v>3.8369227673315867E+21</v>
      </c>
      <c r="K466">
        <f t="shared" si="344"/>
        <v>1024</v>
      </c>
      <c r="L466" s="1">
        <f t="shared" si="345"/>
        <v>0</v>
      </c>
      <c r="M466" s="1">
        <f t="shared" si="346"/>
        <v>7.6923076923076927E-2</v>
      </c>
      <c r="N466">
        <f t="shared" si="347"/>
        <v>914793674309632</v>
      </c>
      <c r="O466">
        <f t="shared" si="334"/>
        <v>1.4411518807585587E+17</v>
      </c>
      <c r="P466">
        <f t="shared" si="348"/>
        <v>0</v>
      </c>
      <c r="Q466">
        <f t="shared" si="349"/>
        <v>0</v>
      </c>
      <c r="S466">
        <f t="shared" si="350"/>
        <v>4194304</v>
      </c>
    </row>
    <row r="467" spans="2:19">
      <c r="B467">
        <f t="shared" si="351"/>
        <v>4194304</v>
      </c>
      <c r="D467">
        <f t="shared" si="339"/>
        <v>65677494565819.734</v>
      </c>
      <c r="E467" s="1">
        <f t="shared" si="340"/>
        <v>1</v>
      </c>
      <c r="F467">
        <f t="shared" si="341"/>
        <v>4.1566750041965861E-12</v>
      </c>
      <c r="G467">
        <f t="shared" si="337"/>
        <v>4.0352252661239644E+18</v>
      </c>
      <c r="H467">
        <f t="shared" si="332"/>
        <v>2.8823037615171174E+17</v>
      </c>
      <c r="I467">
        <f t="shared" si="336"/>
        <v>985162418487296</v>
      </c>
      <c r="J467">
        <f t="shared" si="343"/>
        <v>4.1320706725109396E+21</v>
      </c>
      <c r="K467">
        <f t="shared" si="344"/>
        <v>1024</v>
      </c>
      <c r="L467" s="1">
        <f t="shared" si="345"/>
        <v>0</v>
      </c>
      <c r="M467" s="1">
        <f t="shared" si="346"/>
        <v>7.1428571428571425E-2</v>
      </c>
      <c r="N467">
        <f t="shared" si="347"/>
        <v>985162418487296</v>
      </c>
      <c r="O467">
        <f t="shared" si="334"/>
        <v>2.8823037615171174E+17</v>
      </c>
      <c r="P467">
        <f t="shared" si="348"/>
        <v>0</v>
      </c>
      <c r="Q467">
        <f t="shared" si="349"/>
        <v>0</v>
      </c>
      <c r="S467">
        <f t="shared" si="350"/>
        <v>4194304</v>
      </c>
    </row>
    <row r="468" spans="2:19">
      <c r="B468">
        <f t="shared" si="351"/>
        <v>4194304</v>
      </c>
      <c r="D468">
        <f t="shared" si="339"/>
        <v>70368744177664</v>
      </c>
      <c r="E468" s="1">
        <f t="shared" si="340"/>
        <v>1</v>
      </c>
      <c r="F468">
        <f t="shared" si="341"/>
        <v>3.879563337250147E-12</v>
      </c>
      <c r="G468">
        <f t="shared" si="337"/>
        <v>4.3234556422756762E+18</v>
      </c>
      <c r="H468">
        <f t="shared" si="332"/>
        <v>2.8823037615171174E+17</v>
      </c>
      <c r="I468">
        <f t="shared" si="336"/>
        <v>1055531162664960</v>
      </c>
      <c r="J468">
        <f t="shared" si="343"/>
        <v>4.4272185776902924E+21</v>
      </c>
      <c r="K468">
        <f t="shared" si="344"/>
        <v>1024</v>
      </c>
      <c r="L468" s="1">
        <f t="shared" si="345"/>
        <v>0</v>
      </c>
      <c r="M468" s="1">
        <f t="shared" si="346"/>
        <v>6.6666666666666666E-2</v>
      </c>
      <c r="N468">
        <f t="shared" si="347"/>
        <v>1055531162664960</v>
      </c>
      <c r="O468">
        <f t="shared" si="334"/>
        <v>1.4411518807585587E+17</v>
      </c>
      <c r="P468">
        <f t="shared" si="348"/>
        <v>0</v>
      </c>
      <c r="Q468">
        <f t="shared" si="349"/>
        <v>0</v>
      </c>
      <c r="S468">
        <f t="shared" si="350"/>
        <v>4194304</v>
      </c>
    </row>
    <row r="469" spans="2:19">
      <c r="B469">
        <f t="shared" si="351"/>
        <v>4194304</v>
      </c>
      <c r="D469">
        <f t="shared" si="339"/>
        <v>75059993789508.266</v>
      </c>
      <c r="E469" s="1">
        <f t="shared" si="340"/>
        <v>1</v>
      </c>
      <c r="F469">
        <f t="shared" si="341"/>
        <v>3.6370906286720128E-12</v>
      </c>
      <c r="G469">
        <f t="shared" si="337"/>
        <v>4.6116860184273879E+18</v>
      </c>
      <c r="H469">
        <f t="shared" si="332"/>
        <v>2.8823037615171174E+17</v>
      </c>
      <c r="I469">
        <f t="shared" si="336"/>
        <v>1125899906842624</v>
      </c>
      <c r="J469">
        <f t="shared" si="343"/>
        <v>4.7223664828696452E+21</v>
      </c>
      <c r="K469">
        <f t="shared" si="344"/>
        <v>1024</v>
      </c>
      <c r="L469" s="1">
        <f t="shared" si="345"/>
        <v>0</v>
      </c>
      <c r="M469" s="1">
        <f t="shared" si="346"/>
        <v>6.25E-2</v>
      </c>
      <c r="N469">
        <f t="shared" si="347"/>
        <v>1125899906842624</v>
      </c>
      <c r="O469">
        <f t="shared" si="334"/>
        <v>4.6116860184273879E+18</v>
      </c>
      <c r="P469">
        <f t="shared" si="348"/>
        <v>0</v>
      </c>
      <c r="Q469">
        <f t="shared" si="349"/>
        <v>0</v>
      </c>
      <c r="S469">
        <f t="shared" si="350"/>
        <v>4194304</v>
      </c>
    </row>
    <row r="470" spans="2:19">
      <c r="B470">
        <f t="shared" si="351"/>
        <v>4194304</v>
      </c>
      <c r="D470">
        <f t="shared" si="339"/>
        <v>84442493013196.797</v>
      </c>
      <c r="E470" s="1">
        <f t="shared" si="340"/>
        <v>1</v>
      </c>
      <c r="F470">
        <f t="shared" si="341"/>
        <v>3.2329694477084558E-12</v>
      </c>
      <c r="G470">
        <f t="shared" si="337"/>
        <v>5.1881467707308114E+18</v>
      </c>
      <c r="H470">
        <f t="shared" ref="H470" si="354">H462*2</f>
        <v>5.7646075230342349E+17</v>
      </c>
      <c r="I470">
        <f t="shared" si="336"/>
        <v>1266637395197952</v>
      </c>
      <c r="J470">
        <f t="shared" si="343"/>
        <v>5.3126622932283509E+21</v>
      </c>
      <c r="K470">
        <f t="shared" si="344"/>
        <v>1024</v>
      </c>
      <c r="L470" s="1">
        <f t="shared" si="345"/>
        <v>0</v>
      </c>
      <c r="M470" s="1">
        <f t="shared" si="346"/>
        <v>0.1111111111111111</v>
      </c>
      <c r="N470">
        <f t="shared" si="347"/>
        <v>1266637395197952</v>
      </c>
      <c r="O470">
        <f t="shared" si="334"/>
        <v>2.8823037615171174E+17</v>
      </c>
      <c r="P470">
        <f t="shared" si="348"/>
        <v>0</v>
      </c>
      <c r="Q470">
        <f t="shared" si="349"/>
        <v>0</v>
      </c>
      <c r="S470">
        <f t="shared" si="350"/>
        <v>4194304</v>
      </c>
    </row>
    <row r="471" spans="2:19">
      <c r="B471">
        <f t="shared" si="351"/>
        <v>4194304</v>
      </c>
      <c r="D471">
        <f t="shared" si="339"/>
        <v>93824992236885.328</v>
      </c>
      <c r="E471" s="1">
        <f t="shared" si="340"/>
        <v>1</v>
      </c>
      <c r="F471">
        <f t="shared" si="341"/>
        <v>2.9096725029376103E-12</v>
      </c>
      <c r="G471">
        <f t="shared" si="337"/>
        <v>5.7646075230342349E+18</v>
      </c>
      <c r="H471">
        <f t="shared" si="332"/>
        <v>5.7646075230342349E+17</v>
      </c>
      <c r="I471">
        <f t="shared" si="336"/>
        <v>1407374883553280</v>
      </c>
      <c r="J471">
        <f t="shared" si="343"/>
        <v>5.9029581035870565E+21</v>
      </c>
      <c r="K471">
        <f t="shared" si="344"/>
        <v>1024</v>
      </c>
      <c r="L471" s="1">
        <f t="shared" si="345"/>
        <v>0</v>
      </c>
      <c r="M471" s="1">
        <f t="shared" si="346"/>
        <v>0.1</v>
      </c>
      <c r="N471">
        <f t="shared" si="347"/>
        <v>1407374883553280</v>
      </c>
      <c r="O471">
        <f t="shared" si="334"/>
        <v>5.7646075230342349E+17</v>
      </c>
      <c r="P471">
        <f t="shared" si="348"/>
        <v>0</v>
      </c>
      <c r="Q471">
        <f t="shared" si="349"/>
        <v>0</v>
      </c>
      <c r="S471">
        <f t="shared" si="350"/>
        <v>4194304</v>
      </c>
    </row>
    <row r="472" spans="2:19">
      <c r="B472">
        <f t="shared" si="351"/>
        <v>4194304</v>
      </c>
      <c r="D472">
        <f t="shared" si="339"/>
        <v>103207491460573.86</v>
      </c>
      <c r="E472" s="1">
        <f t="shared" si="340"/>
        <v>1</v>
      </c>
      <c r="F472">
        <f t="shared" si="341"/>
        <v>2.6451568208523728E-12</v>
      </c>
      <c r="G472">
        <f t="shared" si="337"/>
        <v>6.3410682753376584E+18</v>
      </c>
      <c r="H472">
        <f t="shared" si="332"/>
        <v>5.7646075230342349E+17</v>
      </c>
      <c r="I472">
        <f t="shared" si="336"/>
        <v>1548112371908608</v>
      </c>
      <c r="J472">
        <f t="shared" si="343"/>
        <v>6.4932539139457622E+21</v>
      </c>
      <c r="K472">
        <f t="shared" si="344"/>
        <v>1024</v>
      </c>
      <c r="L472" s="1">
        <f t="shared" si="345"/>
        <v>0</v>
      </c>
      <c r="M472" s="1">
        <f t="shared" si="346"/>
        <v>9.0909090909090912E-2</v>
      </c>
      <c r="N472">
        <f t="shared" si="347"/>
        <v>1548112371908608</v>
      </c>
      <c r="O472">
        <f t="shared" si="334"/>
        <v>2.8823037615171174E+17</v>
      </c>
      <c r="P472">
        <f t="shared" si="348"/>
        <v>0</v>
      </c>
      <c r="Q472">
        <f t="shared" si="349"/>
        <v>0</v>
      </c>
      <c r="S472">
        <f t="shared" si="350"/>
        <v>4194304</v>
      </c>
    </row>
    <row r="473" spans="2:19">
      <c r="B473">
        <f t="shared" si="351"/>
        <v>4194304</v>
      </c>
      <c r="D473">
        <f t="shared" si="339"/>
        <v>112589990684262.41</v>
      </c>
      <c r="E473" s="1">
        <f t="shared" si="340"/>
        <v>1</v>
      </c>
      <c r="F473">
        <f t="shared" si="341"/>
        <v>2.4247270857813419E-12</v>
      </c>
      <c r="G473">
        <f t="shared" si="337"/>
        <v>6.9175290276410819E+18</v>
      </c>
      <c r="H473">
        <f t="shared" si="332"/>
        <v>5.7646075230342349E+17</v>
      </c>
      <c r="I473">
        <f t="shared" si="336"/>
        <v>1688849860263936</v>
      </c>
      <c r="J473">
        <f t="shared" si="343"/>
        <v>7.0835497243044678E+21</v>
      </c>
      <c r="K473">
        <f t="shared" si="344"/>
        <v>1024</v>
      </c>
      <c r="L473" s="1">
        <f t="shared" si="345"/>
        <v>0</v>
      </c>
      <c r="M473" s="1">
        <f t="shared" si="346"/>
        <v>8.3333333333333329E-2</v>
      </c>
      <c r="N473">
        <f t="shared" si="347"/>
        <v>1688849860263936</v>
      </c>
      <c r="O473">
        <f t="shared" si="334"/>
        <v>1.152921504606847E+18</v>
      </c>
      <c r="P473">
        <f t="shared" si="348"/>
        <v>0</v>
      </c>
      <c r="Q473">
        <f t="shared" si="349"/>
        <v>0</v>
      </c>
      <c r="S473">
        <f t="shared" si="350"/>
        <v>4194304</v>
      </c>
    </row>
    <row r="474" spans="2:19">
      <c r="B474">
        <f t="shared" si="351"/>
        <v>4194304</v>
      </c>
      <c r="D474">
        <f t="shared" si="339"/>
        <v>121972489907950.94</v>
      </c>
      <c r="E474" s="1">
        <f t="shared" si="340"/>
        <v>1</v>
      </c>
      <c r="F474">
        <f t="shared" si="341"/>
        <v>2.2382096176443156E-12</v>
      </c>
      <c r="G474">
        <f t="shared" si="337"/>
        <v>7.4939897799445053E+18</v>
      </c>
      <c r="H474">
        <f t="shared" si="332"/>
        <v>5.7646075230342349E+17</v>
      </c>
      <c r="I474">
        <f t="shared" si="336"/>
        <v>1829587348619264</v>
      </c>
      <c r="J474">
        <f t="shared" si="343"/>
        <v>7.6738455346631735E+21</v>
      </c>
      <c r="K474">
        <f t="shared" si="344"/>
        <v>1024</v>
      </c>
      <c r="L474" s="1">
        <f t="shared" si="345"/>
        <v>0</v>
      </c>
      <c r="M474" s="1">
        <f t="shared" si="346"/>
        <v>7.6923076923076927E-2</v>
      </c>
      <c r="N474">
        <f t="shared" si="347"/>
        <v>1829587348619264</v>
      </c>
      <c r="O474">
        <f t="shared" si="334"/>
        <v>2.8823037615171174E+17</v>
      </c>
      <c r="P474">
        <f t="shared" si="348"/>
        <v>0</v>
      </c>
      <c r="Q474">
        <f t="shared" si="349"/>
        <v>0</v>
      </c>
      <c r="S474">
        <f t="shared" si="350"/>
        <v>4194304</v>
      </c>
    </row>
    <row r="475" spans="2:19">
      <c r="B475">
        <f t="shared" si="351"/>
        <v>4194304</v>
      </c>
      <c r="D475">
        <f t="shared" si="339"/>
        <v>131354989131639.47</v>
      </c>
      <c r="E475" s="1">
        <f t="shared" si="340"/>
        <v>1</v>
      </c>
      <c r="F475">
        <f t="shared" si="341"/>
        <v>2.078337502098293E-12</v>
      </c>
      <c r="G475">
        <f t="shared" si="337"/>
        <v>8.0704505322479288E+18</v>
      </c>
      <c r="H475">
        <f t="shared" si="332"/>
        <v>5.7646075230342349E+17</v>
      </c>
      <c r="I475">
        <f t="shared" si="336"/>
        <v>1970324836974592</v>
      </c>
      <c r="J475">
        <f t="shared" si="343"/>
        <v>8.2641413450218791E+21</v>
      </c>
      <c r="K475">
        <f t="shared" si="344"/>
        <v>1024</v>
      </c>
      <c r="L475" s="1">
        <f t="shared" si="345"/>
        <v>0</v>
      </c>
      <c r="M475" s="1">
        <f t="shared" si="346"/>
        <v>7.1428571428571425E-2</v>
      </c>
      <c r="N475">
        <f t="shared" si="347"/>
        <v>1970324836974592</v>
      </c>
      <c r="O475">
        <f t="shared" si="334"/>
        <v>5.7646075230342349E+17</v>
      </c>
      <c r="P475">
        <f t="shared" si="348"/>
        <v>0</v>
      </c>
      <c r="Q475">
        <f t="shared" si="349"/>
        <v>0</v>
      </c>
      <c r="S475">
        <f t="shared" si="350"/>
        <v>4194304</v>
      </c>
    </row>
    <row r="476" spans="2:19">
      <c r="B476">
        <f t="shared" si="351"/>
        <v>4194304</v>
      </c>
      <c r="D476">
        <f t="shared" si="339"/>
        <v>140737488355328</v>
      </c>
      <c r="E476" s="1">
        <f t="shared" si="340"/>
        <v>1</v>
      </c>
      <c r="F476">
        <f t="shared" si="341"/>
        <v>1.9397816686250735E-12</v>
      </c>
      <c r="G476">
        <f t="shared" si="337"/>
        <v>8.6469112845513523E+18</v>
      </c>
      <c r="H476">
        <f t="shared" si="332"/>
        <v>5.7646075230342349E+17</v>
      </c>
      <c r="I476">
        <f t="shared" si="336"/>
        <v>2111062325329920</v>
      </c>
      <c r="J476">
        <f t="shared" si="343"/>
        <v>8.8544371553805848E+21</v>
      </c>
      <c r="K476">
        <f t="shared" si="344"/>
        <v>1024</v>
      </c>
      <c r="L476" s="1">
        <f t="shared" si="345"/>
        <v>0</v>
      </c>
      <c r="M476" s="1">
        <f t="shared" si="346"/>
        <v>6.6666666666666666E-2</v>
      </c>
      <c r="N476">
        <f t="shared" si="347"/>
        <v>2111062325329920</v>
      </c>
      <c r="O476">
        <f t="shared" si="334"/>
        <v>2.8823037615171174E+17</v>
      </c>
      <c r="P476">
        <f t="shared" si="348"/>
        <v>0</v>
      </c>
      <c r="Q476">
        <f t="shared" si="349"/>
        <v>0</v>
      </c>
      <c r="S476">
        <f t="shared" si="350"/>
        <v>4194304</v>
      </c>
    </row>
    <row r="477" spans="2:19">
      <c r="B477">
        <f t="shared" si="351"/>
        <v>4194304</v>
      </c>
      <c r="D477">
        <f t="shared" si="339"/>
        <v>150119987579016.53</v>
      </c>
      <c r="E477" s="1">
        <f t="shared" si="340"/>
        <v>1</v>
      </c>
      <c r="F477">
        <f t="shared" si="341"/>
        <v>1.8185453143360064E-12</v>
      </c>
      <c r="G477">
        <f t="shared" si="337"/>
        <v>9.2233720368547758E+18</v>
      </c>
      <c r="H477">
        <f t="shared" si="332"/>
        <v>5.7646075230342349E+17</v>
      </c>
      <c r="I477">
        <f t="shared" si="336"/>
        <v>2251799813685248</v>
      </c>
      <c r="J477">
        <f t="shared" si="343"/>
        <v>9.4447329657392904E+21</v>
      </c>
      <c r="K477">
        <f t="shared" si="344"/>
        <v>1024</v>
      </c>
      <c r="L477" s="1">
        <f t="shared" si="345"/>
        <v>0</v>
      </c>
      <c r="M477" s="1">
        <f t="shared" si="346"/>
        <v>6.25E-2</v>
      </c>
      <c r="N477">
        <f t="shared" si="347"/>
        <v>2251799813685248</v>
      </c>
      <c r="O477">
        <f t="shared" si="334"/>
        <v>9.2233720368547758E+18</v>
      </c>
      <c r="P477">
        <f t="shared" si="348"/>
        <v>0</v>
      </c>
      <c r="Q477">
        <f t="shared" si="349"/>
        <v>0</v>
      </c>
      <c r="S477">
        <f t="shared" si="350"/>
        <v>4194304</v>
      </c>
    </row>
    <row r="478" spans="2:19">
      <c r="B478">
        <f t="shared" si="351"/>
        <v>4194304</v>
      </c>
      <c r="D478">
        <f t="shared" si="339"/>
        <v>168884986026393.59</v>
      </c>
      <c r="E478" s="1">
        <f t="shared" si="340"/>
        <v>1</v>
      </c>
      <c r="F478">
        <f t="shared" si="341"/>
        <v>1.6164847238542279E-12</v>
      </c>
      <c r="G478">
        <f t="shared" si="337"/>
        <v>1.0376293541461623E+19</v>
      </c>
      <c r="H478">
        <f t="shared" ref="H478" si="355">H470*2</f>
        <v>1.152921504606847E+18</v>
      </c>
      <c r="I478">
        <f t="shared" si="336"/>
        <v>2533274790395904</v>
      </c>
      <c r="J478">
        <f t="shared" si="343"/>
        <v>1.0625324586456702E+22</v>
      </c>
      <c r="K478">
        <f t="shared" si="344"/>
        <v>1024</v>
      </c>
      <c r="L478" s="1">
        <f t="shared" si="345"/>
        <v>0</v>
      </c>
      <c r="M478" s="1">
        <f t="shared" si="346"/>
        <v>0.1111111111111111</v>
      </c>
      <c r="N478">
        <f t="shared" si="347"/>
        <v>2533274790395904</v>
      </c>
      <c r="O478">
        <f t="shared" si="334"/>
        <v>5.7646075230342349E+17</v>
      </c>
      <c r="P478">
        <f t="shared" si="348"/>
        <v>0</v>
      </c>
      <c r="Q478">
        <f t="shared" si="349"/>
        <v>0</v>
      </c>
      <c r="S478">
        <f t="shared" si="350"/>
        <v>4194304</v>
      </c>
    </row>
    <row r="479" spans="2:19">
      <c r="B479">
        <f t="shared" si="351"/>
        <v>4194304</v>
      </c>
      <c r="D479">
        <f t="shared" si="339"/>
        <v>187649984473770.66</v>
      </c>
      <c r="E479" s="1">
        <f t="shared" si="340"/>
        <v>1</v>
      </c>
      <c r="F479">
        <f t="shared" si="341"/>
        <v>1.4548362514688051E-12</v>
      </c>
      <c r="G479">
        <f t="shared" si="337"/>
        <v>1.152921504606847E+19</v>
      </c>
      <c r="H479">
        <f t="shared" ref="H479:H485" si="356">H478</f>
        <v>1.152921504606847E+18</v>
      </c>
      <c r="I479">
        <f t="shared" si="336"/>
        <v>2814749767106560</v>
      </c>
      <c r="J479">
        <f t="shared" si="343"/>
        <v>1.1805916207174113E+22</v>
      </c>
      <c r="K479">
        <f t="shared" si="344"/>
        <v>1024</v>
      </c>
      <c r="L479" s="1">
        <f t="shared" si="345"/>
        <v>0</v>
      </c>
      <c r="M479" s="1">
        <f t="shared" si="346"/>
        <v>0.1</v>
      </c>
      <c r="N479">
        <f t="shared" si="347"/>
        <v>2814749767106560</v>
      </c>
      <c r="O479">
        <f t="shared" si="334"/>
        <v>1.152921504606847E+18</v>
      </c>
      <c r="P479">
        <f t="shared" si="348"/>
        <v>0</v>
      </c>
      <c r="Q479">
        <f t="shared" si="349"/>
        <v>0</v>
      </c>
      <c r="S479">
        <f t="shared" si="350"/>
        <v>4194304</v>
      </c>
    </row>
    <row r="480" spans="2:19">
      <c r="B480">
        <f t="shared" si="351"/>
        <v>4194304</v>
      </c>
      <c r="D480">
        <f t="shared" si="339"/>
        <v>206414982921147.72</v>
      </c>
      <c r="E480" s="1">
        <f t="shared" si="340"/>
        <v>1</v>
      </c>
      <c r="F480">
        <f t="shared" si="341"/>
        <v>1.3225784104261864E-12</v>
      </c>
      <c r="G480">
        <f t="shared" si="337"/>
        <v>1.2682136550675317E+19</v>
      </c>
      <c r="H480">
        <f t="shared" si="356"/>
        <v>1.152921504606847E+18</v>
      </c>
      <c r="I480">
        <f t="shared" si="336"/>
        <v>3096224743817216</v>
      </c>
      <c r="J480">
        <f t="shared" si="343"/>
        <v>1.2986507827891524E+22</v>
      </c>
      <c r="K480">
        <f t="shared" si="344"/>
        <v>1024</v>
      </c>
      <c r="L480" s="1">
        <f t="shared" si="345"/>
        <v>0</v>
      </c>
      <c r="M480" s="1">
        <f t="shared" si="346"/>
        <v>9.0909090909090912E-2</v>
      </c>
      <c r="N480">
        <f t="shared" si="347"/>
        <v>3096224743817216</v>
      </c>
      <c r="O480">
        <f t="shared" si="334"/>
        <v>5.7646075230342349E+17</v>
      </c>
      <c r="P480">
        <f t="shared" si="348"/>
        <v>0</v>
      </c>
      <c r="Q480">
        <f t="shared" si="349"/>
        <v>0</v>
      </c>
      <c r="S480">
        <f t="shared" si="350"/>
        <v>4194304</v>
      </c>
    </row>
    <row r="481" spans="2:19">
      <c r="B481">
        <f t="shared" si="351"/>
        <v>4194304</v>
      </c>
      <c r="D481">
        <f t="shared" si="339"/>
        <v>225179981368524.81</v>
      </c>
      <c r="E481" s="1">
        <f t="shared" si="340"/>
        <v>1</v>
      </c>
      <c r="F481">
        <f t="shared" si="341"/>
        <v>1.2123635428906709E-12</v>
      </c>
      <c r="G481">
        <f t="shared" si="337"/>
        <v>1.3835058055282164E+19</v>
      </c>
      <c r="H481">
        <f t="shared" si="356"/>
        <v>1.152921504606847E+18</v>
      </c>
      <c r="I481">
        <f t="shared" si="336"/>
        <v>3377699720527872</v>
      </c>
      <c r="J481">
        <f t="shared" si="343"/>
        <v>1.4167099448608936E+22</v>
      </c>
      <c r="K481">
        <f t="shared" si="344"/>
        <v>1024</v>
      </c>
      <c r="L481" s="1">
        <f t="shared" si="345"/>
        <v>0</v>
      </c>
      <c r="M481" s="1">
        <f t="shared" si="346"/>
        <v>8.3333333333333329E-2</v>
      </c>
      <c r="N481">
        <f t="shared" si="347"/>
        <v>3377699720527872</v>
      </c>
      <c r="O481">
        <f t="shared" si="334"/>
        <v>2.305843009213694E+18</v>
      </c>
      <c r="P481">
        <f t="shared" si="348"/>
        <v>0</v>
      </c>
      <c r="Q481">
        <f t="shared" si="349"/>
        <v>0</v>
      </c>
      <c r="S481">
        <f t="shared" si="350"/>
        <v>4194304</v>
      </c>
    </row>
    <row r="482" spans="2:19">
      <c r="B482">
        <f t="shared" si="351"/>
        <v>4194304</v>
      </c>
      <c r="D482">
        <f t="shared" si="339"/>
        <v>243944979815901.88</v>
      </c>
      <c r="E482" s="1">
        <f t="shared" si="340"/>
        <v>1</v>
      </c>
      <c r="F482">
        <f t="shared" si="341"/>
        <v>1.1191048088221578E-12</v>
      </c>
      <c r="G482">
        <f t="shared" si="337"/>
        <v>1.4987979559889011E+19</v>
      </c>
      <c r="H482">
        <f t="shared" si="356"/>
        <v>1.152921504606847E+18</v>
      </c>
      <c r="I482">
        <f t="shared" si="336"/>
        <v>3659174697238528</v>
      </c>
      <c r="J482">
        <f t="shared" si="343"/>
        <v>1.5347691069326347E+22</v>
      </c>
      <c r="K482">
        <f t="shared" si="344"/>
        <v>1024</v>
      </c>
      <c r="L482" s="1">
        <f t="shared" si="345"/>
        <v>0</v>
      </c>
      <c r="M482" s="1">
        <f t="shared" si="346"/>
        <v>7.6923076923076927E-2</v>
      </c>
      <c r="N482">
        <f t="shared" si="347"/>
        <v>3659174697238528</v>
      </c>
      <c r="O482">
        <f t="shared" si="334"/>
        <v>5.7646075230342349E+17</v>
      </c>
      <c r="P482">
        <f t="shared" si="348"/>
        <v>0</v>
      </c>
      <c r="Q482">
        <f t="shared" si="349"/>
        <v>0</v>
      </c>
      <c r="S482">
        <f t="shared" si="350"/>
        <v>4194304</v>
      </c>
    </row>
    <row r="483" spans="2:19">
      <c r="B483">
        <f t="shared" si="351"/>
        <v>4194304</v>
      </c>
      <c r="D483">
        <f t="shared" si="339"/>
        <v>262709978263278.94</v>
      </c>
      <c r="E483" s="1">
        <f t="shared" si="340"/>
        <v>1</v>
      </c>
      <c r="F483">
        <f t="shared" si="341"/>
        <v>1.0391687510491465E-12</v>
      </c>
      <c r="G483">
        <f t="shared" si="337"/>
        <v>1.6140901064495858E+19</v>
      </c>
      <c r="H483">
        <f t="shared" si="356"/>
        <v>1.152921504606847E+18</v>
      </c>
      <c r="I483">
        <f t="shared" si="336"/>
        <v>3940649673949184</v>
      </c>
      <c r="J483">
        <f t="shared" si="343"/>
        <v>1.6528282690043758E+22</v>
      </c>
      <c r="K483">
        <f t="shared" si="344"/>
        <v>1024</v>
      </c>
      <c r="L483" s="1">
        <f t="shared" si="345"/>
        <v>0</v>
      </c>
      <c r="M483" s="1">
        <f t="shared" si="346"/>
        <v>7.1428571428571425E-2</v>
      </c>
      <c r="N483">
        <f t="shared" si="347"/>
        <v>3940649673949184</v>
      </c>
      <c r="O483">
        <f t="shared" si="334"/>
        <v>1.152921504606847E+18</v>
      </c>
      <c r="P483">
        <f t="shared" si="348"/>
        <v>0</v>
      </c>
      <c r="Q483">
        <f t="shared" si="349"/>
        <v>0</v>
      </c>
      <c r="S483">
        <f t="shared" si="350"/>
        <v>4194304</v>
      </c>
    </row>
    <row r="484" spans="2:19">
      <c r="B484">
        <f t="shared" si="351"/>
        <v>4194304</v>
      </c>
      <c r="D484">
        <f t="shared" si="339"/>
        <v>281474976710656</v>
      </c>
      <c r="E484" s="1">
        <f t="shared" si="340"/>
        <v>1</v>
      </c>
      <c r="F484">
        <f t="shared" si="341"/>
        <v>9.6989083431253675E-13</v>
      </c>
      <c r="G484">
        <f t="shared" si="337"/>
        <v>1.7293822569102705E+19</v>
      </c>
      <c r="H484">
        <f t="shared" si="356"/>
        <v>1.152921504606847E+18</v>
      </c>
      <c r="I484">
        <f t="shared" si="336"/>
        <v>4222124650659840</v>
      </c>
      <c r="J484">
        <f t="shared" si="343"/>
        <v>1.770887431076117E+22</v>
      </c>
      <c r="K484">
        <f t="shared" si="344"/>
        <v>1024</v>
      </c>
      <c r="L484" s="1">
        <f t="shared" si="345"/>
        <v>0</v>
      </c>
      <c r="M484" s="1">
        <f t="shared" si="346"/>
        <v>6.6666666666666666E-2</v>
      </c>
      <c r="N484">
        <f t="shared" si="347"/>
        <v>4222124650659840</v>
      </c>
      <c r="O484">
        <f t="shared" si="334"/>
        <v>5.7646075230342349E+17</v>
      </c>
      <c r="P484">
        <f t="shared" si="348"/>
        <v>0</v>
      </c>
      <c r="Q484">
        <f t="shared" si="349"/>
        <v>0</v>
      </c>
      <c r="S484">
        <f t="shared" si="350"/>
        <v>4194304</v>
      </c>
    </row>
    <row r="485" spans="2:19">
      <c r="B485">
        <f>B484</f>
        <v>4194304</v>
      </c>
      <c r="C485" t="s">
        <v>3</v>
      </c>
      <c r="D485">
        <f t="shared" si="339"/>
        <v>300239975158033.06</v>
      </c>
      <c r="E485" s="1">
        <f t="shared" si="340"/>
        <v>1</v>
      </c>
      <c r="F485">
        <f t="shared" si="341"/>
        <v>9.0927265716800321E-13</v>
      </c>
      <c r="G485">
        <f t="shared" si="337"/>
        <v>1.8446744073709552E+19</v>
      </c>
      <c r="H485">
        <f t="shared" si="356"/>
        <v>1.152921504606847E+18</v>
      </c>
      <c r="I485">
        <f t="shared" si="336"/>
        <v>4503599627370496</v>
      </c>
      <c r="J485">
        <f t="shared" si="343"/>
        <v>1.8889465931478581E+22</v>
      </c>
      <c r="K485">
        <f t="shared" si="344"/>
        <v>1024</v>
      </c>
      <c r="L485" s="1">
        <f t="shared" si="345"/>
        <v>0</v>
      </c>
      <c r="M485" s="1">
        <f t="shared" si="346"/>
        <v>6.25E-2</v>
      </c>
      <c r="N485">
        <f t="shared" si="347"/>
        <v>4503599627370496</v>
      </c>
      <c r="O485">
        <f t="shared" si="334"/>
        <v>1.8446744073709552E+19</v>
      </c>
      <c r="P485">
        <f t="shared" si="348"/>
        <v>0</v>
      </c>
      <c r="Q485">
        <f t="shared" si="349"/>
        <v>0</v>
      </c>
      <c r="S485">
        <f t="shared" si="350"/>
        <v>4194304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"/>
  <sheetViews>
    <sheetView workbookViewId="0">
      <selection activeCell="F10" sqref="F10"/>
    </sheetView>
  </sheetViews>
  <sheetFormatPr baseColWidth="10" defaultColWidth="8.83203125" defaultRowHeight="14" x14ac:dyDescent="0"/>
  <sheetData>
    <row r="11" spans="6:6">
      <c r="F11">
        <v>64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Olofsson</dc:creator>
  <cp:lastModifiedBy>Erik Olofsson</cp:lastModifiedBy>
  <dcterms:created xsi:type="dcterms:W3CDTF">2012-10-20T20:11:30Z</dcterms:created>
  <dcterms:modified xsi:type="dcterms:W3CDTF">2013-12-01T16:45:37Z</dcterms:modified>
</cp:coreProperties>
</file>